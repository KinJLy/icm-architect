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2023" sheetId="1" r:id="rId5"/>
    <sheet state="visible" name="2023-2024" sheetId="2" r:id="rId6"/>
    <sheet state="visible" name="2024" sheetId="3" r:id="rId7"/>
    <sheet state="visible" name="2025" sheetId="4" r:id="rId8"/>
    <sheet state="visible" name="2026" sheetId="5" r:id="rId9"/>
    <sheet state="visible" name="Sheet2" sheetId="6" r:id="rId10"/>
  </sheets>
  <definedNames>
    <definedName hidden="1" localSheetId="1" name="Z_75BCACDC_D181_47F3_89FE_01A41D98E771_.wvu.FilterData">'2023-2024'!$A$4:$F$47</definedName>
  </definedNames>
  <calcPr/>
  <customWorkbookViews>
    <customWorkbookView activeSheetId="0" maximized="1" windowHeight="0" windowWidth="0" guid="{75BCACDC-D181-47F3-89FE-01A41D98E771}" name="Filter 1"/>
  </customWorkbookViews>
</workbook>
</file>

<file path=xl/sharedStrings.xml><?xml version="1.0" encoding="utf-8"?>
<sst xmlns="http://schemas.openxmlformats.org/spreadsheetml/2006/main" count="869" uniqueCount="429">
  <si>
    <t>2022-2023</t>
  </si>
  <si>
    <t>LIDCOMBE PUBLIC SCHOOL P &amp; C General Account</t>
  </si>
  <si>
    <t>2023-2024</t>
  </si>
  <si>
    <t xml:space="preserve"> </t>
  </si>
  <si>
    <t>BSB062-194 ACC 00900259</t>
  </si>
  <si>
    <t>Date</t>
  </si>
  <si>
    <t>BSB062-194 ACC 10741844  (single sign account)</t>
  </si>
  <si>
    <t>Description</t>
  </si>
  <si>
    <t>Cheque No.</t>
  </si>
  <si>
    <t>Debit</t>
  </si>
  <si>
    <t>Credit</t>
  </si>
  <si>
    <t>Category</t>
  </si>
  <si>
    <t>Balance</t>
  </si>
  <si>
    <t>Balance Carried Forward</t>
  </si>
  <si>
    <t>15/03/2022</t>
  </si>
  <si>
    <t>Cash Deposit</t>
  </si>
  <si>
    <t>29/03/2022</t>
  </si>
  <si>
    <t>25/03/2023</t>
  </si>
  <si>
    <t>Go Fund Raise Pty</t>
  </si>
  <si>
    <t>Deposit Transferred to 1 to Sign Account - Family Fun Night (Coins only)</t>
  </si>
  <si>
    <t>Family Fun Night 2023</t>
  </si>
  <si>
    <t>30/03/2022</t>
  </si>
  <si>
    <t>Credit Interest</t>
  </si>
  <si>
    <t>MJ and JA Rush - Easter Eggs Reimbursement</t>
  </si>
  <si>
    <t>26/04/2022</t>
  </si>
  <si>
    <t>Deposit Transferred to 1 to Sign Account - Fathers Day (Coins Only)</t>
  </si>
  <si>
    <t>26/05/2022</t>
  </si>
  <si>
    <t>Transfer - Crown Concepts Mothers Day Gifts</t>
  </si>
  <si>
    <t>22/02/2025</t>
  </si>
  <si>
    <t>Transfer from NetBank</t>
  </si>
  <si>
    <t>internal transfer - in</t>
  </si>
  <si>
    <t>Deposit Transferred to 1 to Sign Account - P&amp;C Members Fees</t>
  </si>
  <si>
    <t>Transfer - Smart Gift Ideas Mothers Day Gifts</t>
  </si>
  <si>
    <t>27/03/2023</t>
  </si>
  <si>
    <t>Deposit - BBQ Petty Cash</t>
  </si>
  <si>
    <t>March Election</t>
  </si>
  <si>
    <t>Mothers day stall takings</t>
  </si>
  <si>
    <t>2024 Family Fun Night takings</t>
  </si>
  <si>
    <t>22/03/2025</t>
  </si>
  <si>
    <t>Deposit - BBQ reimbursement funds</t>
  </si>
  <si>
    <t>Fast Transfer From Square Australia Pty - CREDIT TO ACCOUNT - T30RFX60BKCP4JF</t>
  </si>
  <si>
    <t>March Election Costs</t>
  </si>
  <si>
    <t>Refund for Wrist Bands</t>
  </si>
  <si>
    <t>Family Fun Night 2024 - East Coast Amusements</t>
  </si>
  <si>
    <t>Family Fun Night 2024</t>
  </si>
  <si>
    <t>2024 Family Fun Night expenses</t>
  </si>
  <si>
    <t>Easter Eggs - reimburse Sue</t>
  </si>
  <si>
    <t>Deposit - BBQ Net profits</t>
  </si>
  <si>
    <t>Easter 2025</t>
  </si>
  <si>
    <t>March Election BBQ - Raised</t>
  </si>
  <si>
    <t>Payment to Uniform Shop- Reimbursement</t>
  </si>
  <si>
    <t>Transfer to CBA A/c NetBank to single gen acc</t>
  </si>
  <si>
    <t>internal transfer - out</t>
  </si>
  <si>
    <t>25/07/2022</t>
  </si>
  <si>
    <t>Mothers day expenses</t>
  </si>
  <si>
    <t>Transfer - Smart Gift Ideas Fathers Day Gifts</t>
  </si>
  <si>
    <t>Raised</t>
  </si>
  <si>
    <t>BBQ Supplies - Sausages, breads, bacon, sauces etc</t>
  </si>
  <si>
    <t>Transfer - School Run 4 Fund</t>
  </si>
  <si>
    <t>Naplan Fruits</t>
  </si>
  <si>
    <t>Easter Hat Parade bags - reimburse Zaynab</t>
  </si>
  <si>
    <t>Naplan Fruits 2024</t>
  </si>
  <si>
    <t>Nicole Monk - Mothers day gifts</t>
  </si>
  <si>
    <t>Net amount raised</t>
  </si>
  <si>
    <t>Transfer - Crown Concepts Fathers Day Gifts</t>
  </si>
  <si>
    <t>BBQ Supplies - Onions, Knives and Chopping Boards</t>
  </si>
  <si>
    <t>Easter Volunteers lunch - reimburse Zaynab</t>
  </si>
  <si>
    <t>Transfer - NAPLAN Fruit</t>
  </si>
  <si>
    <t xml:space="preserve">Easter Eggs for Kids </t>
  </si>
  <si>
    <t>BBQ Supplies - Onions, Halal sausages, eggs</t>
  </si>
  <si>
    <t>16/09/2022</t>
  </si>
  <si>
    <t>Anzac Day wreath - reimburse Sue</t>
  </si>
  <si>
    <t>Andrews Insurance Service - Membership Fee and BPK Business Pack</t>
  </si>
  <si>
    <t>Anzac Day</t>
  </si>
  <si>
    <t>Easter Eggs for kids with allergies</t>
  </si>
  <si>
    <t>Mother's Day Gift - Smart Gift Ideas</t>
  </si>
  <si>
    <t>Mothers Day 2024</t>
  </si>
  <si>
    <t>Election BBQ stall takings</t>
  </si>
  <si>
    <t>19/09/2022</t>
  </si>
  <si>
    <t>Family Fun Night 2022 Costs</t>
  </si>
  <si>
    <t>Deposit - Mothers day 20205</t>
  </si>
  <si>
    <t>16/04/2024</t>
  </si>
  <si>
    <t>Mothers day 2025</t>
  </si>
  <si>
    <t>Family Photo Studios</t>
  </si>
  <si>
    <t>Election BBQ expenses</t>
  </si>
  <si>
    <t>May Election BBQ</t>
  </si>
  <si>
    <t>Election BBQ - reimburse Zaynab</t>
  </si>
  <si>
    <t>Election 2025</t>
  </si>
  <si>
    <t>20/10/2022</t>
  </si>
  <si>
    <t>Lidcombe Public School - STEM Term 3</t>
  </si>
  <si>
    <t>Lidcombe Public School - Kindy graduation books</t>
  </si>
  <si>
    <t>31/03/2023</t>
  </si>
  <si>
    <t>Green Event Ice blocks - Susanna</t>
  </si>
  <si>
    <t>Lidcombe Public School - Civiq Drink Bottle Taps</t>
  </si>
  <si>
    <t>27/10/2022</t>
  </si>
  <si>
    <t>Andrews Insurance Service - Accident and Liability Insurances</t>
  </si>
  <si>
    <t>Fathers day stall takings</t>
  </si>
  <si>
    <t>Green Event Ice blocks - Jimmy</t>
  </si>
  <si>
    <t>13/05/2024</t>
  </si>
  <si>
    <t>Mother's Day Gift - Gifts to Give</t>
  </si>
  <si>
    <t>Deposit - Square payments for BBQ</t>
  </si>
  <si>
    <t>28/04/2023</t>
  </si>
  <si>
    <t>Oranges for Cross Country/Fun Run</t>
  </si>
  <si>
    <t>Gifts to give - Fathers Day Gifts</t>
  </si>
  <si>
    <t>Deposit - Square Payments for Family Fun Night</t>
  </si>
  <si>
    <t>Fathers day expenses</t>
  </si>
  <si>
    <t>25/11/2022</t>
  </si>
  <si>
    <t>Lidcombe Public School - K-6 World of Maths</t>
  </si>
  <si>
    <t>Yr 6 Graduation Cupcakes</t>
  </si>
  <si>
    <t>Mother's Day Gift - Greenborough</t>
  </si>
  <si>
    <t>Mothers Day gift expenses</t>
  </si>
  <si>
    <t>Mother's Day</t>
  </si>
  <si>
    <t>Direct Credit - Stripe Stripe - December Raffle</t>
  </si>
  <si>
    <t>Yr 6 Farewell Decoration expenses</t>
  </si>
  <si>
    <t>Yr 6 Extra cupcake boxes</t>
  </si>
  <si>
    <t>Mothers Day Stall</t>
  </si>
  <si>
    <t>13/12/2022</t>
  </si>
  <si>
    <t>Fast Transfer From Square Australia Pty - CREDIT TO ACCOUNT - T3BASNPCFAQN5Q0</t>
  </si>
  <si>
    <t>Mothers Day Expense</t>
  </si>
  <si>
    <t>16/12/2022</t>
  </si>
  <si>
    <t>Lidcombe Public School - STEM Term 4</t>
  </si>
  <si>
    <t>Mother's Day Gift - Crown Concepts</t>
  </si>
  <si>
    <t>Chq 000973 presented (to school)</t>
  </si>
  <si>
    <t>Bus Excursions 2025</t>
  </si>
  <si>
    <t>Yr 6 Graduation Cupcake Boxes</t>
  </si>
  <si>
    <t xml:space="preserve"> Direct Credit 485450 SQUARE AU PTY LT</t>
  </si>
  <si>
    <t>Teachers Day - Cakes and Plates</t>
  </si>
  <si>
    <t>17/05/2024</t>
  </si>
  <si>
    <t xml:space="preserve"> Direct Credit 485450 SQUARE AU PTY LT (this should have gone to Uniform Shop)</t>
  </si>
  <si>
    <t>Mother's Day Gift box</t>
  </si>
  <si>
    <t>BBQ Petty Cash - Reimbursement to Uniform Account</t>
  </si>
  <si>
    <t>Fun Run</t>
  </si>
  <si>
    <t>18/04/2023</t>
  </si>
  <si>
    <t>Transfer from Fun Run (Fund raising)</t>
  </si>
  <si>
    <t>Purchased Library Bags from Uniform shop - gifted to Kindies</t>
  </si>
  <si>
    <t>Transfer to CBA A/c CommBank app Uniform sales (device was used for Election BBQ)</t>
  </si>
  <si>
    <t>Kindies Library Bags - Gifted 2024</t>
  </si>
  <si>
    <t>Fun Run expense</t>
  </si>
  <si>
    <t>Election BBQ - reimburse Sue</t>
  </si>
  <si>
    <t>CCD stall takings</t>
  </si>
  <si>
    <t>Lamar and Easter Bunny dry cleaning</t>
  </si>
  <si>
    <t>CCD takings</t>
  </si>
  <si>
    <t>Election BBQ - reimburse Marua</t>
  </si>
  <si>
    <t>CCD expenses</t>
  </si>
  <si>
    <t>Family Fun Night</t>
  </si>
  <si>
    <t>Deposit - Family Fun Night 2023 (delayed banking)</t>
  </si>
  <si>
    <t>Election BBQ - reimburse Ben</t>
  </si>
  <si>
    <t>Pre Sold</t>
  </si>
  <si>
    <t>Family Fun Night Transfer from 1 to Sign Account</t>
  </si>
  <si>
    <t>Sold on the day</t>
  </si>
  <si>
    <t xml:space="preserve">Mothers Day Stall </t>
  </si>
  <si>
    <t>Mothers Day - Crown</t>
  </si>
  <si>
    <t>Mothers Day 2025</t>
  </si>
  <si>
    <t>Fun Run fundraising</t>
  </si>
  <si>
    <t>Deposit - Mothers Day 2024</t>
  </si>
  <si>
    <t>16/05/2025</t>
  </si>
  <si>
    <t>For the School</t>
  </si>
  <si>
    <t>Deposit</t>
  </si>
  <si>
    <t>15/05/2023</t>
  </si>
  <si>
    <t>For rides people</t>
  </si>
  <si>
    <t>16/05/2023</t>
  </si>
  <si>
    <t>Hat Parade</t>
  </si>
  <si>
    <t>2025 Family Fun Night takings</t>
  </si>
  <si>
    <t>26/05/2025</t>
  </si>
  <si>
    <t>Dry cleaner Easter suits</t>
  </si>
  <si>
    <t>To be refunded; extra tags remaining</t>
  </si>
  <si>
    <t>21/06/2024</t>
  </si>
  <si>
    <t>Flowers for funeral for school community member</t>
  </si>
  <si>
    <t>Supplier</t>
  </si>
  <si>
    <t>Expenses</t>
  </si>
  <si>
    <t>Revenue</t>
  </si>
  <si>
    <t>2025 Family Fun Night expenses</t>
  </si>
  <si>
    <t>paid in 2026</t>
  </si>
  <si>
    <t>29/07/2025</t>
  </si>
  <si>
    <t>Fathers day - Aldi</t>
  </si>
  <si>
    <t>Fathers day 2025</t>
  </si>
  <si>
    <t>Family Fun Night takings</t>
  </si>
  <si>
    <t>Site fees</t>
  </si>
  <si>
    <t>Family Fund Night expenses for rides</t>
  </si>
  <si>
    <t>Fathers day - Crown</t>
  </si>
  <si>
    <t>30/05/2023</t>
  </si>
  <si>
    <t>** See next year for expenses</t>
  </si>
  <si>
    <t>Chq 000900 presented (to school)</t>
  </si>
  <si>
    <t>Fathers day - Gifts to give</t>
  </si>
  <si>
    <t>Fathers Day Cost</t>
  </si>
  <si>
    <t>Stem 2023 (delayed transfer to School)</t>
  </si>
  <si>
    <t>Fathers day - Smart gift ideas</t>
  </si>
  <si>
    <t>Father Day raised</t>
  </si>
  <si>
    <t>Fun Run Fundraising expense</t>
  </si>
  <si>
    <t>30/07/2025</t>
  </si>
  <si>
    <t>Fathers day - Woolworths</t>
  </si>
  <si>
    <t>22/06/2023</t>
  </si>
  <si>
    <t>Gifts to Give - Mothers Day expenses</t>
  </si>
  <si>
    <t>22/02/2026</t>
  </si>
  <si>
    <t>Transfer To M M Kearns Pty Ltd CommBank App Lidcombe PS FFN</t>
  </si>
  <si>
    <t>Amount Raised</t>
  </si>
  <si>
    <t>Deposit - OODIE HOODIE DAY</t>
  </si>
  <si>
    <t>Andrews Insurance</t>
  </si>
  <si>
    <t>19/08/2025</t>
  </si>
  <si>
    <t>Bunnings BBQ Costs</t>
  </si>
  <si>
    <t>18/03/2026</t>
  </si>
  <si>
    <t>Transfer to xx0754 CommBank app Fruit NAPLAN</t>
  </si>
  <si>
    <t>NAPLAN</t>
  </si>
  <si>
    <t>Fathers Day Gifts - Crown</t>
  </si>
  <si>
    <t>21/08/2025</t>
  </si>
  <si>
    <t>15/08/2023</t>
  </si>
  <si>
    <t>Fathers Day Gift Expense - Crown Concepts</t>
  </si>
  <si>
    <t>Fathers Day</t>
  </si>
  <si>
    <t>Total</t>
  </si>
  <si>
    <t>22/08/2025</t>
  </si>
  <si>
    <t>Uniform Acct</t>
  </si>
  <si>
    <t>Fathers Day Gift Expense - Smart Gift Ideas</t>
  </si>
  <si>
    <t>23/08/2025</t>
  </si>
  <si>
    <t>Fast Transfer From Square Australia Pty - CREDIT TO ACCOUNT - T31RBQMEWHAM1H5</t>
  </si>
  <si>
    <t>Profit</t>
  </si>
  <si>
    <t>23/03/2026</t>
  </si>
  <si>
    <t>Transfer To Crown Concepts NetBank Lidcombe P and C mothers day</t>
  </si>
  <si>
    <t>26/08/2025</t>
  </si>
  <si>
    <t>Fathers Day Gift Expense - Gifts to Give</t>
  </si>
  <si>
    <t>Fathers Day Gifts - Moon and Back</t>
  </si>
  <si>
    <t>Profit/Loss</t>
  </si>
  <si>
    <t>27/08/2025</t>
  </si>
  <si>
    <t>Andrews Insurance for P&amp;C</t>
  </si>
  <si>
    <t>29/03/2026</t>
  </si>
  <si>
    <t>Transfer from CommBank app For music program (from uniform account)</t>
  </si>
  <si>
    <t>28/08/2025</t>
  </si>
  <si>
    <t>Music Program</t>
  </si>
  <si>
    <t>Voice Election Costs</t>
  </si>
  <si>
    <t>26/03/2026</t>
  </si>
  <si>
    <t>Transfer To Gifts to Give Pty Ltd CommBank App MB18863</t>
  </si>
  <si>
    <t>29/08/2025</t>
  </si>
  <si>
    <t>28/08/2023</t>
  </si>
  <si>
    <t>Bunning BBQ Square Transfer</t>
  </si>
  <si>
    <t>Bunnings BBQ</t>
  </si>
  <si>
    <t>16/08/2024</t>
  </si>
  <si>
    <t>30/09/2025</t>
  </si>
  <si>
    <t>Fathers Day Gifts</t>
  </si>
  <si>
    <t>Fast Transfer From Square Australia Pty - CREDIT TO ACCOUNT - T3059GVD18BF7MJ</t>
  </si>
  <si>
    <t>Voice Election Raised</t>
  </si>
  <si>
    <t>29/08/2023</t>
  </si>
  <si>
    <t>Fathers Day Gift Boxes for Lucky Draw</t>
  </si>
  <si>
    <t>Direct Credit 485450 SQUARE AU PTY LT</t>
  </si>
  <si>
    <t>Transfer To Smart Gift Ideas CommBank App SG178759</t>
  </si>
  <si>
    <t>Deposit - Fathers day</t>
  </si>
  <si>
    <t>Bunnings BBQ - Sauces</t>
  </si>
  <si>
    <t>16/09/2025</t>
  </si>
  <si>
    <t>CCD - Linda's Discount Bankstown</t>
  </si>
  <si>
    <t>CCD 2025</t>
  </si>
  <si>
    <t>Reimbursement to Uniform Shop for Bunning BBQ</t>
  </si>
  <si>
    <t>17/09/2025</t>
  </si>
  <si>
    <t>Insurance</t>
  </si>
  <si>
    <t>CCD Cost</t>
  </si>
  <si>
    <t>30/03/2026</t>
  </si>
  <si>
    <t>MY CHOICE NSW LIDCOMBE AU</t>
  </si>
  <si>
    <t>22/09/2025</t>
  </si>
  <si>
    <t>CCD - Reject shop misc</t>
  </si>
  <si>
    <t>CCD Raised</t>
  </si>
  <si>
    <t>Chq 000974 presented</t>
  </si>
  <si>
    <t>23/09/2025</t>
  </si>
  <si>
    <t>CCD - onions</t>
  </si>
  <si>
    <t>Chq 000971 presented (to school)</t>
  </si>
  <si>
    <t>24/09/2025</t>
  </si>
  <si>
    <t>WOOLWORTHS/PARRAMATTA RD LIDCOMBE AU Card xx1882 Value Date: 30/03/2026</t>
  </si>
  <si>
    <t>CCD - Costco</t>
  </si>
  <si>
    <t>Stem 2024</t>
  </si>
  <si>
    <t>Fun run Fundraising</t>
  </si>
  <si>
    <t>Crown Concepts</t>
  </si>
  <si>
    <t>CCD - Woolworths</t>
  </si>
  <si>
    <t>Net Profit</t>
  </si>
  <si>
    <t>CASH DEPOSIT CBA ATM LIDCOMBE A NSW 219401 AUS mothers day coins</t>
  </si>
  <si>
    <t xml:space="preserve">Mother's Day </t>
  </si>
  <si>
    <t>25/09/2025</t>
  </si>
  <si>
    <t>CCD - Aldi</t>
  </si>
  <si>
    <t>13/09/2024</t>
  </si>
  <si>
    <t>BIG FRESH BANKSTOWN BANKSTOWN AU Card xx1882 Value Date: 23/04/2026</t>
  </si>
  <si>
    <t>26/09/2025</t>
  </si>
  <si>
    <t>Cross Country - Oranges</t>
  </si>
  <si>
    <t>Deposit - CCD</t>
  </si>
  <si>
    <t>Deposit - Fathers Day 2024</t>
  </si>
  <si>
    <t>Mothers Day Stall money</t>
  </si>
  <si>
    <t>Gifts to Give</t>
  </si>
  <si>
    <t>CCD - sausages - reimburse Zaynab</t>
  </si>
  <si>
    <t>CASH DEPOSIT CBA ATM LIDCOMBE A NSW 219401 AUS mother day coins 2</t>
  </si>
  <si>
    <t>Bunning BBQ Cash Sales</t>
  </si>
  <si>
    <t>27/09/2025</t>
  </si>
  <si>
    <t>CCD - flowers/wipes - reimburse Sue</t>
  </si>
  <si>
    <t>Bunnings BBQ Petty Cash Return</t>
  </si>
  <si>
    <t>CCD - gazebo/sandbog/ice - reimburse Ben</t>
  </si>
  <si>
    <t>Smart Gift Ideas</t>
  </si>
  <si>
    <t>CASH DEPOSIT CBA ATM LIDCOMBE A NSW 219401 AUS mothers day notes</t>
  </si>
  <si>
    <t>Fathers Day Stall Money</t>
  </si>
  <si>
    <t>Fast Transfer From Square Australia Pty - CREDIT TO ACCOUNT - T3Q87SEBJM3FRS5</t>
  </si>
  <si>
    <t>20/09/2023</t>
  </si>
  <si>
    <t>Fast Transfer From Square Australia Pty CREDIT TO ACCOUNT T34Z63KPTWFS1NZ</t>
  </si>
  <si>
    <t>15/10/2025</t>
  </si>
  <si>
    <t>CCD Square Payment Transfer</t>
  </si>
  <si>
    <t>Cultural and Community Day</t>
  </si>
  <si>
    <t>27/10/2025</t>
  </si>
  <si>
    <t>CASH DEPOSIT CBA ATM LIDCOMBE A NSW 219401 AUS mother day note 2</t>
  </si>
  <si>
    <t xml:space="preserve">Fast Transfer From ZAYNAB MORGANI - Costco item fault </t>
  </si>
  <si>
    <t>Fathers Day - packaging materials</t>
  </si>
  <si>
    <t>28/10/2025</t>
  </si>
  <si>
    <t>Fathers Day 2024</t>
  </si>
  <si>
    <t>COSTCO WHOLESALE PTY LIDCOMBE AU - Card xx1882 - Value Date: 27/10/2025</t>
  </si>
  <si>
    <t>Petty Cash Withdrawal for Voice Election BBQ</t>
  </si>
  <si>
    <t>Voice Referendum</t>
  </si>
  <si>
    <t>Year 6 Grad gifts - Greensborough</t>
  </si>
  <si>
    <t>Chq 000975 presented</t>
  </si>
  <si>
    <t>Year 6 Grad 2025</t>
  </si>
  <si>
    <t>CCD Cash Deposit</t>
  </si>
  <si>
    <t>World Teachers Day - coffee cart</t>
  </si>
  <si>
    <t>27/09/2024</t>
  </si>
  <si>
    <t>CCD - Food boxes</t>
  </si>
  <si>
    <t>19/10/23</t>
  </si>
  <si>
    <t xml:space="preserve">Fast Transfer From MARUA HAMDAN - Costco refund from Marua </t>
  </si>
  <si>
    <t>CCD 2024</t>
  </si>
  <si>
    <t>Voice Election - Square Payment Transfer</t>
  </si>
  <si>
    <t>Fast Transfer From Square Australia Pty CREDIT TO ACCOUNT T3XM902977VWJ8K</t>
  </si>
  <si>
    <t>16/11/2025</t>
  </si>
  <si>
    <t>Family Fun Night - Simple Banh Mi stall fee</t>
  </si>
  <si>
    <t>Family Fun NIght 2025</t>
  </si>
  <si>
    <t>22/11/2025</t>
  </si>
  <si>
    <t>Kindy Grad - SCB books</t>
  </si>
  <si>
    <t>Kindy Grad 2025</t>
  </si>
  <si>
    <t>CCD Food Boxes Reimbursement</t>
  </si>
  <si>
    <t>24/11/2025</t>
  </si>
  <si>
    <t>Family Fun Night - craving coffee stal</t>
  </si>
  <si>
    <t>CCD Cups for Cordial</t>
  </si>
  <si>
    <t>SUNNY S FLOWER CAFE PTY L LIDCOMB NSW AU</t>
  </si>
  <si>
    <t>29/11/2025</t>
  </si>
  <si>
    <t>CCD - Bread/Sauce</t>
  </si>
  <si>
    <t>Family Fun Night - TBraidz stall fee</t>
  </si>
  <si>
    <t>Added (Found Mother's Day)</t>
  </si>
  <si>
    <t>THE REJECT SHOP 2383 LIDCOMBE AU</t>
  </si>
  <si>
    <t>Family Fun Night - Sweet street stall fee</t>
  </si>
  <si>
    <t>Election BBQ Drinks &amp; other Misc items</t>
  </si>
  <si>
    <t>Family Fun Night - Henna stall fee</t>
  </si>
  <si>
    <t xml:space="preserve">Fast Transfer From Square Australia Pty - CREDIT TO ACCOUNT - T3G21HHN16NPYQC </t>
  </si>
  <si>
    <t>CCD - Bread</t>
  </si>
  <si>
    <t>Election BBQ Sausausages</t>
  </si>
  <si>
    <t>Election BBQ Ice</t>
  </si>
  <si>
    <t>CASH DEPOSIT CBA ATM LIDCOMBE A NSW 219401 AUS</t>
  </si>
  <si>
    <t>Election BBQ Bread</t>
  </si>
  <si>
    <t>CCD - Sausage</t>
  </si>
  <si>
    <t>(Moved to float)</t>
  </si>
  <si>
    <t>Election BBQ Drink</t>
  </si>
  <si>
    <t>Family Fun Night - S Ayoub stall fee</t>
  </si>
  <si>
    <t>CASH DEPOSIT CBA ATM LIDCOMBE B NSW 219402 AUS</t>
  </si>
  <si>
    <t>CCD - Water</t>
  </si>
  <si>
    <t>13/12/2025</t>
  </si>
  <si>
    <t>Fast Transfer From Square Australia Pty - CREDIT TO ACCOUNT - T30QYREJF04W5SS</t>
  </si>
  <si>
    <t>15/12/2025</t>
  </si>
  <si>
    <t>25/06/2026</t>
  </si>
  <si>
    <t>Year 6 Grad - cookies</t>
  </si>
  <si>
    <t>Cordial for Cultural Community Day</t>
  </si>
  <si>
    <t>Krispy Kreme Australia 0283031100 AU Card xx1882 Value Date: 23/06/2026</t>
  </si>
  <si>
    <t>Hoodie Oodie Day</t>
  </si>
  <si>
    <t>16/12/2025</t>
  </si>
  <si>
    <t>CCD - Water/Napkins</t>
  </si>
  <si>
    <t>17/12/2025</t>
  </si>
  <si>
    <t>Sqr PMT Transfer - Family Fun Night</t>
  </si>
  <si>
    <t>30/06/2026</t>
  </si>
  <si>
    <t>THE REJECT SHOP A074 CHULLORA AU</t>
  </si>
  <si>
    <t>20/12/2023</t>
  </si>
  <si>
    <t>Year 6 Grad - balloons</t>
  </si>
  <si>
    <t>18/12/2025</t>
  </si>
  <si>
    <t>COLES 7708 CHULLORA AU Card xx1882 Value Date: 29/06/2026</t>
  </si>
  <si>
    <t>19/12/2025</t>
  </si>
  <si>
    <t>Cross Country</t>
  </si>
  <si>
    <t>Year 6 Grad - lollies</t>
  </si>
  <si>
    <t>CASH DEPOSIT CBA ATM AUBURN E NSW 210705 AUS</t>
  </si>
  <si>
    <t>LIDCOMBE FAMILY FUN NIGHT - Cash Deposit</t>
  </si>
  <si>
    <t>Deposit - Famiuly Fun Night</t>
  </si>
  <si>
    <t>22/10/2024</t>
  </si>
  <si>
    <t xml:space="preserve">Transfer from NetBank Sqr payment transf </t>
  </si>
  <si>
    <t>Family Fun Night - Gozleme stall fee</t>
  </si>
  <si>
    <t>Family Fun Night - ice cream stall fee</t>
  </si>
  <si>
    <t>Payment for Family Fun Night to East Coast Amusement</t>
  </si>
  <si>
    <t>22/11/2024</t>
  </si>
  <si>
    <t>Family Fun Night Cash Deposit</t>
  </si>
  <si>
    <t>Family Fun Night - Mr Kernal stall fee</t>
  </si>
  <si>
    <t>Deposit - CCD 2024</t>
  </si>
  <si>
    <t>20/12/2025</t>
  </si>
  <si>
    <t>Fast Transfer From Square Australia Pty - CREDIT TO ACCOUNT - T36Q9R2Y45WN7PA</t>
  </si>
  <si>
    <t>26/11/2024</t>
  </si>
  <si>
    <t>Chq 000972 presented (to school)</t>
  </si>
  <si>
    <t>Kindy Grad Books 2024</t>
  </si>
  <si>
    <t>Umbrellas</t>
  </si>
  <si>
    <t>Year 6 Grad Year  Books</t>
  </si>
  <si>
    <t>Year 6 Grad 2024</t>
  </si>
  <si>
    <t>Kindy transition</t>
  </si>
  <si>
    <t>New Kindy 2025</t>
  </si>
  <si>
    <t>CASH DEPOSIT CBA ATM AUBURN D NSW 210704 AUS</t>
  </si>
  <si>
    <t>19/12/2024</t>
  </si>
  <si>
    <t>Deposit - Family Fun Night 2024</t>
  </si>
  <si>
    <t>Fast Transfer From Square Australia Pty CREDIT TO ACCOUNT T3RFC1SZC3FECJ4</t>
  </si>
  <si>
    <t>17/07/2026</t>
  </si>
  <si>
    <t>DEFT INSURANCE NetBank BPAY 20362 401141100179886 PandC Insurance</t>
  </si>
  <si>
    <t>P&amp;C Insurance</t>
  </si>
  <si>
    <t>18/07/2026</t>
  </si>
  <si>
    <t>Transfer To Julie Rush 4Promote NetBank INV-11007</t>
  </si>
  <si>
    <t>Classroom Umbrellas</t>
  </si>
  <si>
    <t>Stage Subsidy</t>
  </si>
  <si>
    <t>Transfer To Smart Gift Ideas CommBank App SG181293</t>
  </si>
  <si>
    <t xml:space="preserve">Father's Day </t>
  </si>
  <si>
    <t>Father's Day</t>
  </si>
  <si>
    <t>Revemue (Money collected net of Petty Cash)</t>
  </si>
  <si>
    <t>Money Collected in total</t>
  </si>
  <si>
    <t>Petty Cash</t>
  </si>
  <si>
    <t>Amount remaining from $950 after paying for expenses</t>
  </si>
  <si>
    <t>Costs</t>
  </si>
  <si>
    <t>Bread</t>
  </si>
  <si>
    <t>Card</t>
  </si>
  <si>
    <t>Started with $950 borrowed from Uniform Shop</t>
  </si>
  <si>
    <t>Sausages</t>
  </si>
  <si>
    <t>Cash</t>
  </si>
  <si>
    <t>That has been returned</t>
  </si>
  <si>
    <t>Sauces</t>
  </si>
  <si>
    <t>Water and Onions</t>
  </si>
  <si>
    <t>Drinks, wipes, tissues and sauces</t>
  </si>
  <si>
    <t>Drinks</t>
  </si>
  <si>
    <t>Misc</t>
  </si>
  <si>
    <t>Expenses paid in cash</t>
  </si>
  <si>
    <t>Total Cost</t>
  </si>
  <si>
    <t>Fathers Day Stall</t>
  </si>
  <si>
    <t>Cost of gifts purchases this year</t>
  </si>
  <si>
    <t>Total cost</t>
  </si>
  <si>
    <t>Money deposited from Stall</t>
  </si>
  <si>
    <t>Profit for this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</si>
</sst>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/dd/yyyy"/>
    <numFmt numFmtId="166" formatCode="&quot;$&quot;#,##0"/>
    <numFmt numFmtId="167" formatCode="m/d/yyyy"/>
    <numFmt numFmtId="168" formatCode="dd/mm/yyyy"/>
  </numFmts>
  <fonts count="12">
    <font>
      <sz val="10.0"/>
      <color rgb="FF000000"/>
      <name val="Arial"/>
      <scheme val="minor"/>
    </font>
    <font>
      <b/>
      <sz val="13.0"/>
      <color rgb="FFFFFFFF"/>
      <name val="Arial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Helvetica Neue"/>
    </font>
    <font>
      <color rgb="FF000000"/>
      <name val="Arial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left" readingOrder="0"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Border="1" applyFont="1"/>
    <xf borderId="2" fillId="0" fontId="3" numFmtId="0" xfId="0" applyAlignment="1" applyBorder="1" applyFont="1">
      <alignment readingOrder="0"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wrapText="0"/>
    </xf>
    <xf borderId="4" fillId="3" fontId="4" numFmtId="0" xfId="0" applyAlignment="1" applyBorder="1" applyFont="1">
      <alignment horizontal="left" readingOrder="0" shrinkToFit="0" vertical="bottom" wrapText="0"/>
    </xf>
    <xf borderId="3" fillId="3" fontId="3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6" fillId="0" fontId="2" numFmtId="0" xfId="0" applyBorder="1" applyFont="1"/>
    <xf borderId="5" fillId="3" fontId="4" numFmtId="164" xfId="0" applyAlignment="1" applyBorder="1" applyFont="1" applyNumberFormat="1">
      <alignment horizontal="center" readingOrder="0" shrinkToFit="0" vertical="bottom" wrapText="0"/>
    </xf>
    <xf borderId="5" fillId="3" fontId="4" numFmtId="164" xfId="0" applyAlignment="1" applyBorder="1" applyFont="1" applyNumberFormat="1">
      <alignment horizontal="center" readingOrder="0" shrinkToFit="0" vertical="bottom" wrapText="0"/>
    </xf>
    <xf borderId="5" fillId="4" fontId="3" numFmtId="165" xfId="0" applyAlignment="1" applyBorder="1" applyFill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right" shrinkToFit="0" vertical="bottom" wrapText="0"/>
    </xf>
    <xf borderId="5" fillId="0" fontId="3" numFmtId="164" xfId="0" applyAlignment="1" applyBorder="1" applyFont="1" applyNumberFormat="1">
      <alignment horizontal="right" readingOrder="0" shrinkToFit="0" vertical="bottom" wrapText="0"/>
    </xf>
    <xf borderId="4" fillId="4" fontId="3" numFmtId="165" xfId="0" applyAlignment="1" applyBorder="1" applyFont="1" applyNumberFormat="1">
      <alignment horizontal="right" readingOrder="0" shrinkToFit="0" vertical="bottom" wrapText="0"/>
    </xf>
    <xf borderId="5" fillId="5" fontId="4" numFmtId="164" xfId="0" applyAlignment="1" applyBorder="1" applyFill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5" fillId="4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164" xfId="0" applyAlignment="1" applyBorder="1" applyFont="1" applyNumberFormat="1">
      <alignment horizontal="center" readingOrder="0" shrinkToFit="0" vertical="bottom" wrapText="0"/>
    </xf>
    <xf borderId="5" fillId="0" fontId="5" numFmtId="0" xfId="0" applyBorder="1" applyFont="1"/>
    <xf borderId="5" fillId="0" fontId="5" numFmtId="164" xfId="0" applyAlignment="1" applyBorder="1" applyFont="1" applyNumberFormat="1">
      <alignment readingOrder="0"/>
    </xf>
    <xf borderId="5" fillId="0" fontId="3" numFmtId="0" xfId="0" applyAlignment="1" applyBorder="1" applyFont="1">
      <alignment horizontal="left" readingOrder="0" shrinkToFit="0" vertical="bottom" wrapText="0"/>
    </xf>
    <xf borderId="5" fillId="0" fontId="5" numFmtId="165" xfId="0" applyAlignment="1" applyBorder="1" applyFont="1" applyNumberFormat="1">
      <alignment horizontal="right" readingOrder="0"/>
    </xf>
    <xf borderId="5" fillId="0" fontId="5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shrinkToFit="0" vertical="bottom" wrapText="0"/>
    </xf>
    <xf borderId="5" fillId="4" fontId="3" numFmtId="164" xfId="0" applyAlignment="1" applyBorder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readingOrder="0"/>
    </xf>
    <xf borderId="5" fillId="0" fontId="5" numFmtId="164" xfId="0" applyBorder="1" applyFont="1" applyNumberFormat="1"/>
    <xf borderId="5" fillId="0" fontId="5" numFmtId="0" xfId="0" applyAlignment="1" applyBorder="1" applyFont="1">
      <alignment horizontal="right" readingOrder="0"/>
    </xf>
    <xf borderId="5" fillId="0" fontId="5" numFmtId="166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horizontal="right" readingOrder="0" shrinkToFit="0" vertical="bottom" wrapText="0"/>
    </xf>
    <xf borderId="5" fillId="6" fontId="3" numFmtId="164" xfId="0" applyAlignment="1" applyBorder="1" applyFill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5" fillId="4" fontId="3" numFmtId="164" xfId="0" applyAlignment="1" applyBorder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5" fillId="0" fontId="3" numFmtId="164" xfId="0" applyAlignment="1" applyBorder="1" applyFont="1" applyNumberFormat="1">
      <alignment horizontal="right" shrinkToFit="0" vertical="bottom" wrapText="0"/>
    </xf>
    <xf borderId="0" fillId="0" fontId="5" numFmtId="0" xfId="0" applyFont="1"/>
    <xf borderId="0" fillId="7" fontId="5" numFmtId="0" xfId="0" applyFill="1" applyFont="1"/>
    <xf borderId="5" fillId="8" fontId="3" numFmtId="164" xfId="0" applyAlignment="1" applyBorder="1" applyFill="1" applyFont="1" applyNumberFormat="1">
      <alignment horizontal="right" readingOrder="0" shrinkToFit="0" vertical="bottom" wrapText="0"/>
    </xf>
    <xf borderId="0" fillId="0" fontId="5" numFmtId="164" xfId="0" applyFont="1" applyNumberFormat="1"/>
    <xf borderId="5" fillId="9" fontId="3" numFmtId="0" xfId="0" applyAlignment="1" applyBorder="1" applyFill="1" applyFont="1">
      <alignment horizontal="right" shrinkToFit="0" vertical="bottom" wrapText="0"/>
    </xf>
    <xf borderId="5" fillId="0" fontId="5" numFmtId="164" xfId="0" applyAlignment="1" applyBorder="1" applyFont="1" applyNumberFormat="1">
      <alignment readingOrder="0"/>
    </xf>
    <xf borderId="5" fillId="4" fontId="3" numFmtId="165" xfId="0" applyAlignment="1" applyBorder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readingOrder="0" shrinkToFit="0" vertical="bottom" wrapText="0"/>
    </xf>
    <xf borderId="0" fillId="10" fontId="5" numFmtId="0" xfId="0" applyFill="1" applyFont="1"/>
    <xf borderId="5" fillId="0" fontId="5" numFmtId="167" xfId="0" applyAlignment="1" applyBorder="1" applyFont="1" applyNumberFormat="1">
      <alignment horizontal="right" readingOrder="0"/>
    </xf>
    <xf borderId="5" fillId="0" fontId="3" numFmtId="165" xfId="0" applyAlignment="1" applyBorder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readingOrder="0" shrinkToFit="0" vertical="bottom" wrapText="0"/>
    </xf>
    <xf borderId="5" fillId="0" fontId="5" numFmtId="0" xfId="0" applyAlignment="1" applyBorder="1" applyFont="1">
      <alignment horizontal="right"/>
    </xf>
    <xf borderId="0" fillId="0" fontId="6" numFmtId="164" xfId="0" applyFont="1" applyNumberFormat="1"/>
    <xf borderId="5" fillId="8" fontId="5" numFmtId="164" xfId="0" applyAlignment="1" applyBorder="1" applyFont="1" applyNumberFormat="1">
      <alignment readingOrder="0"/>
    </xf>
    <xf borderId="5" fillId="4" fontId="3" numFmtId="167" xfId="0" applyAlignment="1" applyBorder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horizontal="right" readingOrder="0" shrinkToFit="0" vertical="bottom" wrapText="0"/>
    </xf>
    <xf borderId="5" fillId="4" fontId="3" numFmtId="0" xfId="0" applyAlignment="1" applyBorder="1" applyFont="1">
      <alignment horizontal="right" readingOrder="0" shrinkToFit="0" vertical="bottom" wrapText="0"/>
    </xf>
    <xf borderId="0" fillId="0" fontId="5" numFmtId="166" xfId="0" applyAlignment="1" applyFont="1" applyNumberFormat="1">
      <alignment readingOrder="0"/>
    </xf>
    <xf borderId="5" fillId="8" fontId="3" numFmtId="164" xfId="0" applyAlignment="1" applyBorder="1" applyFont="1" applyNumberFormat="1">
      <alignment readingOrder="0" shrinkToFit="0" vertical="bottom" wrapText="0"/>
    </xf>
    <xf borderId="0" fillId="0" fontId="6" numFmtId="166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5" fillId="0" fontId="3" numFmtId="164" xfId="0" applyAlignment="1" applyBorder="1" applyFont="1" applyNumberFormat="1">
      <alignment shrinkToFit="0" vertical="bottom" wrapText="0"/>
    </xf>
    <xf borderId="5" fillId="0" fontId="5" numFmtId="165" xfId="0" applyAlignment="1" applyBorder="1" applyFont="1" applyNumberFormat="1">
      <alignment readingOrder="0"/>
    </xf>
    <xf borderId="5" fillId="0" fontId="3" numFmtId="165" xfId="0" applyAlignment="1" applyBorder="1" applyFont="1" applyNumberFormat="1">
      <alignment horizontal="right" readingOrder="0"/>
    </xf>
    <xf borderId="5" fillId="0" fontId="3" numFmtId="0" xfId="0" applyBorder="1" applyFont="1"/>
    <xf borderId="5" fillId="0" fontId="3" numFmtId="164" xfId="0" applyBorder="1" applyFont="1" applyNumberFormat="1"/>
    <xf borderId="0" fillId="0" fontId="5" numFmtId="164" xfId="0" applyAlignment="1" applyFont="1" applyNumberFormat="1">
      <alignment readingOrder="0"/>
    </xf>
    <xf borderId="5" fillId="0" fontId="3" numFmtId="0" xfId="0" applyAlignment="1" applyBorder="1" applyFont="1">
      <alignment horizontal="right" readingOrder="0"/>
    </xf>
    <xf borderId="5" fillId="0" fontId="3" numFmtId="0" xfId="0" applyAlignment="1" applyBorder="1" applyFont="1">
      <alignment readingOrder="0"/>
    </xf>
    <xf borderId="5" fillId="0" fontId="3" numFmtId="166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readingOrder="0"/>
    </xf>
    <xf borderId="5" fillId="0" fontId="3" numFmtId="168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readingOrder="0"/>
    </xf>
    <xf borderId="5" fillId="0" fontId="3" numFmtId="164" xfId="0" applyBorder="1" applyFont="1" applyNumberFormat="1"/>
    <xf borderId="5" fillId="0" fontId="7" numFmtId="165" xfId="0" applyAlignment="1" applyBorder="1" applyFont="1" applyNumberFormat="1">
      <alignment readingOrder="0" vertical="top"/>
    </xf>
    <xf borderId="5" fillId="0" fontId="7" numFmtId="0" xfId="0" applyAlignment="1" applyBorder="1" applyFont="1">
      <alignment readingOrder="0" vertical="top"/>
    </xf>
    <xf borderId="5" fillId="0" fontId="5" numFmtId="164" xfId="0" applyAlignment="1" applyBorder="1" applyFont="1" applyNumberFormat="1">
      <alignment vertical="top"/>
    </xf>
    <xf borderId="5" fillId="0" fontId="7" numFmtId="164" xfId="0" applyAlignment="1" applyBorder="1" applyFont="1" applyNumberFormat="1">
      <alignment readingOrder="0" vertical="top"/>
    </xf>
    <xf borderId="5" fillId="0" fontId="3" numFmtId="164" xfId="0" applyAlignment="1" applyBorder="1" applyFont="1" applyNumberFormat="1">
      <alignment horizontal="left" readingOrder="0" shrinkToFit="0" vertical="bottom" wrapText="0"/>
    </xf>
    <xf borderId="5" fillId="0" fontId="8" numFmtId="0" xfId="0" applyAlignment="1" applyBorder="1" applyFont="1">
      <alignment horizontal="right" readingOrder="0" vertical="top"/>
    </xf>
    <xf borderId="5" fillId="0" fontId="8" numFmtId="0" xfId="0" applyAlignment="1" applyBorder="1" applyFont="1">
      <alignment readingOrder="0" vertical="top"/>
    </xf>
    <xf borderId="5" fillId="0" fontId="8" numFmtId="164" xfId="0" applyAlignment="1" applyBorder="1" applyFont="1" applyNumberFormat="1">
      <alignment readingOrder="0" vertical="top"/>
    </xf>
    <xf borderId="5" fillId="0" fontId="3" numFmtId="164" xfId="0" applyAlignment="1" applyBorder="1" applyFont="1" applyNumberFormat="1">
      <alignment vertical="top"/>
    </xf>
    <xf borderId="5" fillId="0" fontId="3" numFmtId="0" xfId="0" applyAlignment="1" applyBorder="1" applyFont="1">
      <alignment vertical="top"/>
    </xf>
    <xf borderId="5" fillId="0" fontId="8" numFmtId="165" xfId="0" applyAlignment="1" applyBorder="1" applyFont="1" applyNumberFormat="1">
      <alignment horizontal="right" readingOrder="0" vertical="top"/>
    </xf>
    <xf borderId="0" fillId="0" fontId="9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11" fontId="10" numFmtId="0" xfId="0" applyAlignment="1" applyFill="1" applyFont="1">
      <alignment readingOrder="0"/>
    </xf>
    <xf borderId="0" fillId="11" fontId="10" numFmtId="164" xfId="0" applyFont="1" applyNumberForma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53.75"/>
  </cols>
  <sheetData>
    <row r="1">
      <c r="A1" s="1" t="s">
        <v>0</v>
      </c>
    </row>
    <row r="2">
      <c r="A2" s="3" t="s">
        <v>1</v>
      </c>
      <c r="B2" s="4"/>
      <c r="C2" s="4"/>
      <c r="D2" s="4"/>
      <c r="E2" s="4"/>
      <c r="F2" s="4"/>
    </row>
    <row r="3">
      <c r="A3" s="5" t="s">
        <v>4</v>
      </c>
      <c r="B3" s="6"/>
      <c r="C3" s="6"/>
      <c r="D3" s="6"/>
      <c r="E3" s="6"/>
      <c r="F3" s="6"/>
    </row>
    <row r="4">
      <c r="A4" s="7" t="s">
        <v>5</v>
      </c>
      <c r="B4" s="7" t="s">
        <v>7</v>
      </c>
      <c r="C4" s="9" t="s">
        <v>8</v>
      </c>
      <c r="D4" s="7" t="s">
        <v>9</v>
      </c>
      <c r="E4" s="7" t="s">
        <v>10</v>
      </c>
      <c r="F4" s="12" t="s">
        <v>12</v>
      </c>
    </row>
    <row r="5">
      <c r="A5" s="13"/>
      <c r="B5" s="13"/>
      <c r="C5" s="13"/>
      <c r="D5" s="13"/>
      <c r="E5" s="13"/>
      <c r="F5" s="13"/>
    </row>
    <row r="6">
      <c r="A6" s="16">
        <v>44564.0</v>
      </c>
      <c r="B6" s="17" t="s">
        <v>13</v>
      </c>
      <c r="C6" s="18"/>
      <c r="D6" s="19"/>
      <c r="E6" s="20">
        <v>27971.35</v>
      </c>
      <c r="F6" s="22">
        <v>27971.3</v>
      </c>
    </row>
    <row r="7">
      <c r="A7" s="24" t="s">
        <v>14</v>
      </c>
      <c r="B7" s="26" t="s">
        <v>15</v>
      </c>
      <c r="C7" s="18"/>
      <c r="D7" s="19"/>
      <c r="E7" s="20">
        <v>8.0</v>
      </c>
      <c r="F7" s="27">
        <v>27979.35</v>
      </c>
    </row>
    <row r="8">
      <c r="A8" s="24" t="s">
        <v>16</v>
      </c>
      <c r="B8" s="17" t="s">
        <v>18</v>
      </c>
      <c r="C8" s="18"/>
      <c r="D8" s="19"/>
      <c r="E8" s="20">
        <v>785.0</v>
      </c>
      <c r="F8" s="27">
        <v>28764.35</v>
      </c>
    </row>
    <row r="9">
      <c r="A9" s="24" t="s">
        <v>21</v>
      </c>
      <c r="B9" s="26" t="s">
        <v>23</v>
      </c>
      <c r="C9" s="33">
        <v>958.0</v>
      </c>
      <c r="D9" s="20">
        <v>549.4</v>
      </c>
      <c r="E9" s="19"/>
      <c r="F9" s="27">
        <v>28214.95</v>
      </c>
    </row>
    <row r="10">
      <c r="A10" s="16">
        <v>44899.0</v>
      </c>
      <c r="B10" s="17" t="s">
        <v>18</v>
      </c>
      <c r="C10" s="18"/>
      <c r="D10" s="19"/>
      <c r="E10" s="20">
        <v>1284.0</v>
      </c>
      <c r="F10" s="27">
        <v>29498.95</v>
      </c>
    </row>
    <row r="11">
      <c r="A11" s="24" t="s">
        <v>24</v>
      </c>
      <c r="B11" s="17" t="s">
        <v>18</v>
      </c>
      <c r="C11" s="18"/>
      <c r="D11" s="19"/>
      <c r="E11" s="20">
        <v>130.0</v>
      </c>
      <c r="F11" s="27">
        <v>29628.95</v>
      </c>
    </row>
    <row r="12">
      <c r="A12" s="24" t="s">
        <v>26</v>
      </c>
      <c r="B12" s="26" t="s">
        <v>27</v>
      </c>
      <c r="C12" s="18"/>
      <c r="D12" s="20">
        <v>1227.85</v>
      </c>
      <c r="E12" s="19"/>
      <c r="F12" s="27">
        <v>28401.1</v>
      </c>
    </row>
    <row r="13">
      <c r="A13" s="16">
        <v>44626.0</v>
      </c>
      <c r="B13" s="26" t="s">
        <v>32</v>
      </c>
      <c r="C13" s="18"/>
      <c r="D13" s="20">
        <v>264.0</v>
      </c>
      <c r="E13" s="19"/>
      <c r="F13" s="27">
        <v>28137.1</v>
      </c>
    </row>
    <row r="14">
      <c r="A14" s="16">
        <v>44840.0</v>
      </c>
      <c r="B14" s="26" t="s">
        <v>15</v>
      </c>
      <c r="C14" s="18"/>
      <c r="D14" s="19"/>
      <c r="E14" s="20">
        <v>1480.2</v>
      </c>
      <c r="F14" s="27">
        <v>29617.3</v>
      </c>
    </row>
    <row r="15">
      <c r="A15" s="16">
        <v>44840.0</v>
      </c>
      <c r="B15" s="26" t="s">
        <v>15</v>
      </c>
      <c r="C15" s="18"/>
      <c r="D15" s="19"/>
      <c r="E15" s="20">
        <v>3710.0</v>
      </c>
      <c r="F15" s="27">
        <v>33327.3</v>
      </c>
    </row>
    <row r="16">
      <c r="A16" s="16">
        <v>44840.0</v>
      </c>
      <c r="B16" s="26" t="s">
        <v>15</v>
      </c>
      <c r="C16" s="18"/>
      <c r="D16" s="19"/>
      <c r="E16" s="20">
        <v>700.0</v>
      </c>
      <c r="F16" s="27">
        <v>34027.3</v>
      </c>
    </row>
    <row r="17">
      <c r="A17" s="16">
        <v>44840.0</v>
      </c>
      <c r="B17" s="26" t="s">
        <v>15</v>
      </c>
      <c r="C17" s="18"/>
      <c r="D17" s="19"/>
      <c r="E17" s="20">
        <v>32.0</v>
      </c>
      <c r="F17" s="27">
        <v>34059.3</v>
      </c>
    </row>
    <row r="18">
      <c r="A18" s="16">
        <v>44840.0</v>
      </c>
      <c r="B18" s="26" t="s">
        <v>15</v>
      </c>
      <c r="C18" s="18"/>
      <c r="D18" s="19"/>
      <c r="E18" s="20">
        <v>1445.9</v>
      </c>
      <c r="F18" s="27">
        <v>35505.2</v>
      </c>
    </row>
    <row r="19">
      <c r="A19" s="16">
        <v>44840.0</v>
      </c>
      <c r="B19" s="26" t="s">
        <v>15</v>
      </c>
      <c r="C19" s="18"/>
      <c r="D19" s="19"/>
      <c r="E19" s="20">
        <v>179.0</v>
      </c>
      <c r="F19" s="27">
        <v>35684.2</v>
      </c>
    </row>
    <row r="20">
      <c r="A20" s="16">
        <v>44840.0</v>
      </c>
      <c r="B20" s="26" t="s">
        <v>50</v>
      </c>
      <c r="C20" s="18">
        <v>960.0</v>
      </c>
      <c r="D20" s="19">
        <v>1130.0</v>
      </c>
      <c r="E20" s="20"/>
      <c r="F20" s="27">
        <v>34554.2</v>
      </c>
    </row>
    <row r="21">
      <c r="A21" s="16" t="s">
        <v>53</v>
      </c>
      <c r="B21" s="26" t="s">
        <v>55</v>
      </c>
      <c r="C21" s="18"/>
      <c r="D21" s="19">
        <v>1263.2</v>
      </c>
      <c r="E21" s="20"/>
      <c r="F21" s="27">
        <v>33291.0</v>
      </c>
    </row>
    <row r="22">
      <c r="A22" s="16" t="s">
        <v>53</v>
      </c>
      <c r="B22" s="26" t="s">
        <v>58</v>
      </c>
      <c r="C22" s="18"/>
      <c r="D22" s="19">
        <v>1494.11</v>
      </c>
      <c r="E22" s="20"/>
      <c r="F22" s="27">
        <v>31796.89</v>
      </c>
    </row>
    <row r="23">
      <c r="A23" s="16">
        <v>44628.0</v>
      </c>
      <c r="B23" s="26" t="s">
        <v>62</v>
      </c>
      <c r="C23" s="18">
        <v>896.0</v>
      </c>
      <c r="D23" s="19">
        <v>1324.55</v>
      </c>
      <c r="E23" s="20"/>
      <c r="F23" s="27">
        <v>30472.34</v>
      </c>
    </row>
    <row r="24">
      <c r="A24" s="16">
        <v>44812.0</v>
      </c>
      <c r="B24" s="26" t="s">
        <v>64</v>
      </c>
      <c r="C24" s="18"/>
      <c r="D24" s="19">
        <v>968.55</v>
      </c>
      <c r="E24" s="20"/>
      <c r="F24" s="27">
        <v>29503.79</v>
      </c>
    </row>
    <row r="25">
      <c r="A25" s="16">
        <v>44812.0</v>
      </c>
      <c r="B25" s="26" t="s">
        <v>67</v>
      </c>
      <c r="C25" s="18"/>
      <c r="D25" s="19">
        <v>228.45</v>
      </c>
      <c r="E25" s="20"/>
      <c r="F25" s="27">
        <v>29275.34</v>
      </c>
    </row>
    <row r="26">
      <c r="A26" s="16">
        <v>44570.0</v>
      </c>
      <c r="B26" s="26" t="s">
        <v>22</v>
      </c>
      <c r="C26" s="18"/>
      <c r="D26" s="19"/>
      <c r="E26" s="20">
        <v>8.21</v>
      </c>
      <c r="F26" s="27">
        <v>29283.55</v>
      </c>
    </row>
    <row r="27">
      <c r="A27" s="16" t="s">
        <v>70</v>
      </c>
      <c r="B27" s="26" t="s">
        <v>72</v>
      </c>
      <c r="C27" s="18">
        <v>897.0</v>
      </c>
      <c r="D27" s="19">
        <v>1517.0</v>
      </c>
      <c r="E27" s="20"/>
      <c r="F27" s="27">
        <v>27766.55</v>
      </c>
    </row>
    <row r="28">
      <c r="A28" s="16" t="s">
        <v>78</v>
      </c>
      <c r="B28" s="26" t="s">
        <v>15</v>
      </c>
      <c r="C28" s="18"/>
      <c r="D28" s="19"/>
      <c r="E28" s="20">
        <v>3885.0</v>
      </c>
      <c r="F28" s="27">
        <v>31651.55</v>
      </c>
    </row>
    <row r="29">
      <c r="A29" s="16">
        <v>44571.0</v>
      </c>
      <c r="B29" s="26" t="s">
        <v>22</v>
      </c>
      <c r="C29" s="18"/>
      <c r="D29" s="19"/>
      <c r="E29" s="20">
        <v>18.57</v>
      </c>
      <c r="F29" s="27">
        <v>31670.12</v>
      </c>
    </row>
    <row r="30">
      <c r="A30" s="16">
        <v>44875.0</v>
      </c>
      <c r="B30" s="26" t="s">
        <v>85</v>
      </c>
      <c r="C30" s="18"/>
      <c r="D30" s="19"/>
      <c r="E30" s="20">
        <v>923.84</v>
      </c>
      <c r="F30" s="27">
        <v>32593.96</v>
      </c>
    </row>
    <row r="31">
      <c r="A31" s="16" t="s">
        <v>88</v>
      </c>
      <c r="B31" s="26" t="s">
        <v>89</v>
      </c>
      <c r="C31" s="18">
        <v>969.0</v>
      </c>
      <c r="D31" s="19">
        <v>2805.0</v>
      </c>
      <c r="E31" s="20"/>
      <c r="F31" s="27">
        <v>29788.96</v>
      </c>
    </row>
    <row r="32">
      <c r="A32" s="16" t="s">
        <v>88</v>
      </c>
      <c r="B32" s="26" t="s">
        <v>90</v>
      </c>
      <c r="C32" s="18">
        <v>967.0</v>
      </c>
      <c r="D32" s="19">
        <v>579.0</v>
      </c>
      <c r="E32" s="20"/>
      <c r="F32" s="27">
        <v>29209.96</v>
      </c>
    </row>
    <row r="33">
      <c r="A33" s="16" t="s">
        <v>88</v>
      </c>
      <c r="B33" s="26" t="s">
        <v>93</v>
      </c>
      <c r="C33" s="18">
        <v>963.0</v>
      </c>
      <c r="D33" s="19">
        <v>13732.0</v>
      </c>
      <c r="E33" s="20"/>
      <c r="F33" s="27">
        <v>15477.96</v>
      </c>
    </row>
    <row r="34">
      <c r="A34" s="16" t="s">
        <v>94</v>
      </c>
      <c r="B34" s="26" t="s">
        <v>95</v>
      </c>
      <c r="C34" s="18">
        <v>965.0</v>
      </c>
      <c r="D34" s="50">
        <v>316.0</v>
      </c>
      <c r="E34" s="20"/>
      <c r="F34" s="27">
        <v>15161.96</v>
      </c>
    </row>
    <row r="35">
      <c r="A35" s="16">
        <v>44572.0</v>
      </c>
      <c r="B35" s="26" t="s">
        <v>22</v>
      </c>
      <c r="C35" s="18"/>
      <c r="D35" s="19"/>
      <c r="E35" s="20">
        <v>23.07</v>
      </c>
      <c r="F35" s="27">
        <v>15185.03</v>
      </c>
    </row>
    <row r="36">
      <c r="A36" s="16">
        <v>44603.0</v>
      </c>
      <c r="B36" s="26" t="s">
        <v>103</v>
      </c>
      <c r="C36" s="18">
        <v>964.0</v>
      </c>
      <c r="D36" s="19">
        <v>4981.25</v>
      </c>
      <c r="E36" s="20"/>
      <c r="F36" s="27">
        <v>10203.78</v>
      </c>
    </row>
    <row r="37">
      <c r="A37" s="16" t="s">
        <v>106</v>
      </c>
      <c r="B37" s="26" t="s">
        <v>107</v>
      </c>
      <c r="C37" s="18">
        <v>968.0</v>
      </c>
      <c r="D37" s="19">
        <v>877.5</v>
      </c>
      <c r="E37" s="20"/>
      <c r="F37" s="27">
        <v>9326.28</v>
      </c>
    </row>
    <row r="38">
      <c r="A38" s="16">
        <v>44573.0</v>
      </c>
      <c r="B38" s="26" t="s">
        <v>22</v>
      </c>
      <c r="C38" s="18"/>
      <c r="D38" s="19"/>
      <c r="E38" s="20">
        <v>11.21</v>
      </c>
      <c r="F38" s="27">
        <v>9337.49</v>
      </c>
    </row>
    <row r="39">
      <c r="A39" s="16">
        <v>44724.0</v>
      </c>
      <c r="B39" s="26" t="s">
        <v>112</v>
      </c>
      <c r="C39" s="18"/>
      <c r="D39" s="19"/>
      <c r="E39" s="20">
        <v>261.32</v>
      </c>
      <c r="F39" s="27">
        <v>9598.81</v>
      </c>
    </row>
    <row r="40">
      <c r="A40" s="16">
        <v>44754.0</v>
      </c>
      <c r="B40" s="26" t="s">
        <v>112</v>
      </c>
      <c r="C40" s="18"/>
      <c r="D40" s="19"/>
      <c r="E40" s="20">
        <v>358.67</v>
      </c>
      <c r="F40" s="27">
        <v>9957.48</v>
      </c>
    </row>
    <row r="41">
      <c r="A41" s="16">
        <v>44785.0</v>
      </c>
      <c r="B41" s="26" t="s">
        <v>112</v>
      </c>
      <c r="C41" s="18"/>
      <c r="D41" s="19"/>
      <c r="E41" s="20">
        <v>82.3</v>
      </c>
      <c r="F41" s="27">
        <v>10039.78</v>
      </c>
    </row>
    <row r="42">
      <c r="A42" s="16">
        <v>44816.0</v>
      </c>
      <c r="B42" s="26" t="s">
        <v>112</v>
      </c>
      <c r="C42" s="18"/>
      <c r="D42" s="19"/>
      <c r="E42" s="20">
        <v>417.94</v>
      </c>
      <c r="F42" s="27">
        <v>10457.72</v>
      </c>
    </row>
    <row r="43">
      <c r="A43" s="16">
        <v>44907.0</v>
      </c>
      <c r="B43" s="26" t="s">
        <v>112</v>
      </c>
      <c r="C43" s="18"/>
      <c r="D43" s="19"/>
      <c r="E43" s="20">
        <v>513.14</v>
      </c>
      <c r="F43" s="27">
        <v>10970.86</v>
      </c>
    </row>
    <row r="44">
      <c r="A44" s="16" t="s">
        <v>116</v>
      </c>
      <c r="B44" s="26" t="s">
        <v>112</v>
      </c>
      <c r="C44" s="18"/>
      <c r="D44" s="19"/>
      <c r="E44" s="20">
        <v>502.7</v>
      </c>
      <c r="F44" s="27">
        <v>11473.56</v>
      </c>
    </row>
    <row r="45">
      <c r="A45" s="16" t="s">
        <v>119</v>
      </c>
      <c r="B45" s="26" t="s">
        <v>120</v>
      </c>
      <c r="C45" s="18">
        <v>898.0</v>
      </c>
      <c r="D45" s="19">
        <v>1605.0</v>
      </c>
      <c r="E45" s="20"/>
      <c r="F45" s="27">
        <v>9868.56</v>
      </c>
    </row>
    <row r="46">
      <c r="A46" s="56">
        <v>44927.0</v>
      </c>
      <c r="B46" s="26" t="s">
        <v>22</v>
      </c>
      <c r="C46" s="57"/>
      <c r="D46" s="57"/>
      <c r="E46" s="58">
        <v>13.24</v>
      </c>
      <c r="F46" s="27">
        <v>9881.8</v>
      </c>
    </row>
    <row r="47">
      <c r="A47" s="56">
        <v>44928.0</v>
      </c>
      <c r="B47" s="26" t="s">
        <v>22</v>
      </c>
      <c r="C47" s="57"/>
      <c r="D47" s="57"/>
      <c r="E47" s="58">
        <v>13.43</v>
      </c>
      <c r="F47" s="27">
        <v>9895.23</v>
      </c>
    </row>
    <row r="48">
      <c r="A48" s="56">
        <v>44929.0</v>
      </c>
      <c r="B48" s="26" t="s">
        <v>22</v>
      </c>
      <c r="C48" s="57"/>
      <c r="D48" s="57"/>
      <c r="E48" s="58">
        <v>13.57</v>
      </c>
      <c r="F48" s="27">
        <v>9908.8</v>
      </c>
    </row>
  </sheetData>
  <mergeCells count="9">
    <mergeCell ref="E4:E5"/>
    <mergeCell ref="F4:F5"/>
    <mergeCell ref="A1:F1"/>
    <mergeCell ref="A2:F2"/>
    <mergeCell ref="A3:F3"/>
    <mergeCell ref="A4:A5"/>
    <mergeCell ref="B4:B5"/>
    <mergeCell ref="C4:C5"/>
    <mergeCell ref="D4:D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54.5"/>
    <col customWidth="1" min="3" max="3" width="22.25"/>
    <col customWidth="1" min="8" max="8" width="28.13"/>
  </cols>
  <sheetData>
    <row r="1">
      <c r="A1" s="1" t="s">
        <v>2</v>
      </c>
    </row>
    <row r="2">
      <c r="A2" s="3" t="s">
        <v>1</v>
      </c>
      <c r="B2" s="4"/>
      <c r="C2" s="4"/>
      <c r="D2" s="4"/>
      <c r="E2" s="4"/>
      <c r="F2" s="4"/>
    </row>
    <row r="3">
      <c r="A3" s="5" t="s">
        <v>4</v>
      </c>
      <c r="B3" s="6"/>
      <c r="C3" s="6"/>
      <c r="D3" s="6"/>
      <c r="E3" s="6"/>
      <c r="F3" s="6"/>
    </row>
    <row r="4">
      <c r="A4" s="8" t="s">
        <v>5</v>
      </c>
      <c r="B4" s="10" t="s">
        <v>7</v>
      </c>
      <c r="C4" s="11" t="s">
        <v>11</v>
      </c>
      <c r="D4" s="11" t="s">
        <v>9</v>
      </c>
      <c r="E4" s="14" t="s">
        <v>10</v>
      </c>
      <c r="F4" s="15" t="s">
        <v>12</v>
      </c>
    </row>
    <row r="5">
      <c r="A5" s="21">
        <v>44929.0</v>
      </c>
      <c r="B5" s="23" t="s">
        <v>13</v>
      </c>
      <c r="C5" s="25"/>
      <c r="D5" s="19"/>
      <c r="E5" s="20">
        <v>9908.8</v>
      </c>
      <c r="F5" s="22">
        <v>9908.8</v>
      </c>
    </row>
    <row r="6">
      <c r="A6" s="24" t="s">
        <v>17</v>
      </c>
      <c r="B6" s="26" t="s">
        <v>19</v>
      </c>
      <c r="C6" s="30" t="s">
        <v>20</v>
      </c>
      <c r="D6" s="19"/>
      <c r="E6" s="20">
        <v>251.4</v>
      </c>
      <c r="F6" s="34">
        <f t="shared" ref="F6:F11" si="1">F5+E6</f>
        <v>10160.2</v>
      </c>
    </row>
    <row r="7">
      <c r="A7" s="24" t="s">
        <v>17</v>
      </c>
      <c r="B7" s="26" t="s">
        <v>25</v>
      </c>
      <c r="C7" s="30" t="s">
        <v>20</v>
      </c>
      <c r="D7" s="19"/>
      <c r="E7" s="20">
        <v>814.85</v>
      </c>
      <c r="F7" s="34">
        <f t="shared" si="1"/>
        <v>10975.05</v>
      </c>
    </row>
    <row r="8">
      <c r="A8" s="24" t="s">
        <v>17</v>
      </c>
      <c r="B8" s="26" t="s">
        <v>31</v>
      </c>
      <c r="C8" s="30" t="s">
        <v>20</v>
      </c>
      <c r="D8" s="20"/>
      <c r="E8" s="39">
        <v>26.0</v>
      </c>
      <c r="F8" s="34">
        <f t="shared" si="1"/>
        <v>11001.05</v>
      </c>
    </row>
    <row r="9">
      <c r="A9" s="24" t="s">
        <v>33</v>
      </c>
      <c r="B9" s="26" t="s">
        <v>34</v>
      </c>
      <c r="C9" s="30" t="s">
        <v>35</v>
      </c>
      <c r="D9" s="19"/>
      <c r="E9" s="40">
        <v>500.0</v>
      </c>
      <c r="F9" s="34">
        <f t="shared" si="1"/>
        <v>11501.05</v>
      </c>
    </row>
    <row r="10">
      <c r="A10" s="24" t="s">
        <v>33</v>
      </c>
      <c r="B10" s="17" t="s">
        <v>39</v>
      </c>
      <c r="C10" s="30" t="s">
        <v>35</v>
      </c>
      <c r="D10" s="19"/>
      <c r="E10" s="39">
        <v>803.48</v>
      </c>
      <c r="F10" s="34">
        <f t="shared" si="1"/>
        <v>12304.53</v>
      </c>
      <c r="H10" s="41" t="s">
        <v>41</v>
      </c>
      <c r="I10" s="42">
        <f>D12+D13+D14</f>
        <v>803.51</v>
      </c>
    </row>
    <row r="11">
      <c r="A11" s="24" t="s">
        <v>33</v>
      </c>
      <c r="B11" s="26" t="s">
        <v>47</v>
      </c>
      <c r="C11" s="30" t="s">
        <v>35</v>
      </c>
      <c r="D11" s="20"/>
      <c r="E11" s="39">
        <v>1661.77</v>
      </c>
      <c r="F11" s="34">
        <f t="shared" si="1"/>
        <v>13966.3</v>
      </c>
      <c r="H11" s="41" t="s">
        <v>49</v>
      </c>
      <c r="I11" s="43">
        <f>E10+E11+E18</f>
        <v>3233.13</v>
      </c>
    </row>
    <row r="12">
      <c r="A12" s="24" t="s">
        <v>33</v>
      </c>
      <c r="B12" s="26" t="s">
        <v>57</v>
      </c>
      <c r="C12" s="30" t="s">
        <v>35</v>
      </c>
      <c r="D12" s="39">
        <v>640.03</v>
      </c>
      <c r="E12" s="45"/>
      <c r="F12" s="34">
        <f>F11+E12-D12</f>
        <v>13326.27</v>
      </c>
      <c r="H12" s="41" t="s">
        <v>63</v>
      </c>
      <c r="I12" s="42">
        <f>I11-I10</f>
        <v>2429.62</v>
      </c>
    </row>
    <row r="13">
      <c r="A13" s="24" t="s">
        <v>33</v>
      </c>
      <c r="B13" s="26" t="s">
        <v>65</v>
      </c>
      <c r="C13" s="30" t="s">
        <v>35</v>
      </c>
      <c r="D13" s="39">
        <v>57.48</v>
      </c>
      <c r="E13" s="39"/>
      <c r="F13" s="34">
        <f>F15+E13-D13</f>
        <v>12854.79</v>
      </c>
      <c r="M13" s="24" t="s">
        <v>33</v>
      </c>
      <c r="N13" s="26" t="s">
        <v>68</v>
      </c>
      <c r="O13" s="18"/>
      <c r="P13" s="39">
        <v>414.0</v>
      </c>
    </row>
    <row r="14">
      <c r="A14" s="24" t="s">
        <v>33</v>
      </c>
      <c r="B14" s="26" t="s">
        <v>69</v>
      </c>
      <c r="C14" s="30" t="s">
        <v>35</v>
      </c>
      <c r="D14" s="39">
        <v>106.0</v>
      </c>
      <c r="E14" s="39"/>
      <c r="F14" s="34">
        <f>F13+E14-D14</f>
        <v>12748.79</v>
      </c>
      <c r="M14" s="24" t="s">
        <v>33</v>
      </c>
      <c r="N14" s="26" t="s">
        <v>74</v>
      </c>
      <c r="O14" s="18"/>
      <c r="P14" s="39">
        <v>12.0</v>
      </c>
    </row>
    <row r="15">
      <c r="A15" s="24" t="s">
        <v>33</v>
      </c>
      <c r="B15" s="26" t="s">
        <v>68</v>
      </c>
      <c r="C15" s="25"/>
      <c r="D15" s="39">
        <v>414.0</v>
      </c>
      <c r="E15" s="39"/>
      <c r="F15" s="34">
        <f>F12+E15-D15</f>
        <v>12912.27</v>
      </c>
      <c r="H15" s="41" t="s">
        <v>79</v>
      </c>
      <c r="I15" s="42">
        <f>E33</f>
        <v>16995</v>
      </c>
      <c r="M15" s="24" t="s">
        <v>33</v>
      </c>
      <c r="N15" s="26" t="s">
        <v>74</v>
      </c>
      <c r="O15" s="18"/>
      <c r="P15" s="39">
        <v>20.0</v>
      </c>
    </row>
    <row r="16">
      <c r="A16" s="24" t="s">
        <v>33</v>
      </c>
      <c r="B16" s="26" t="s">
        <v>74</v>
      </c>
      <c r="C16" s="25"/>
      <c r="D16" s="48">
        <v>12.0</v>
      </c>
      <c r="E16" s="39"/>
      <c r="F16" s="34">
        <f>F14+E16-D16</f>
        <v>12736.79</v>
      </c>
      <c r="H16" s="41" t="s">
        <v>56</v>
      </c>
      <c r="I16" s="49">
        <f>E6+E19+E33</f>
        <v>20069.42</v>
      </c>
      <c r="M16" s="24" t="s">
        <v>91</v>
      </c>
      <c r="N16" s="26" t="s">
        <v>92</v>
      </c>
      <c r="O16" s="18"/>
      <c r="P16" s="39">
        <v>26.15</v>
      </c>
    </row>
    <row r="17">
      <c r="A17" s="24" t="s">
        <v>33</v>
      </c>
      <c r="B17" s="26" t="s">
        <v>74</v>
      </c>
      <c r="C17" s="25"/>
      <c r="D17" s="48">
        <v>20.0</v>
      </c>
      <c r="E17" s="39"/>
      <c r="F17" s="34">
        <f t="shared" ref="F17:F92" si="2">F16+E17-D17</f>
        <v>12716.79</v>
      </c>
      <c r="H17" s="41" t="s">
        <v>63</v>
      </c>
      <c r="I17" s="49">
        <f>I16-I15</f>
        <v>3074.42</v>
      </c>
      <c r="M17" s="24" t="s">
        <v>91</v>
      </c>
      <c r="N17" s="26" t="s">
        <v>97</v>
      </c>
      <c r="O17" s="18"/>
      <c r="P17" s="39">
        <v>175.5</v>
      </c>
    </row>
    <row r="18">
      <c r="A18" s="24" t="s">
        <v>33</v>
      </c>
      <c r="B18" s="26" t="s">
        <v>100</v>
      </c>
      <c r="C18" s="30" t="s">
        <v>35</v>
      </c>
      <c r="D18" s="45"/>
      <c r="E18" s="39">
        <v>767.88</v>
      </c>
      <c r="F18" s="34">
        <f t="shared" si="2"/>
        <v>13484.67</v>
      </c>
      <c r="M18" s="24" t="s">
        <v>101</v>
      </c>
      <c r="N18" s="26" t="s">
        <v>102</v>
      </c>
      <c r="O18" s="33"/>
      <c r="P18" s="51">
        <v>175.92</v>
      </c>
    </row>
    <row r="19">
      <c r="A19" s="24" t="s">
        <v>33</v>
      </c>
      <c r="B19" s="26" t="s">
        <v>104</v>
      </c>
      <c r="C19" s="30" t="s">
        <v>20</v>
      </c>
      <c r="D19" s="39"/>
      <c r="E19" s="39">
        <v>2823.02</v>
      </c>
      <c r="F19" s="34">
        <f t="shared" si="2"/>
        <v>16307.69</v>
      </c>
      <c r="M19" s="52">
        <v>44938.0</v>
      </c>
      <c r="N19" s="26" t="s">
        <v>108</v>
      </c>
      <c r="O19" s="53"/>
      <c r="P19" s="53">
        <v>550.0</v>
      </c>
    </row>
    <row r="20">
      <c r="A20" s="24" t="s">
        <v>91</v>
      </c>
      <c r="B20" s="26" t="s">
        <v>110</v>
      </c>
      <c r="C20" s="30" t="s">
        <v>111</v>
      </c>
      <c r="D20" s="48">
        <v>1106.6</v>
      </c>
      <c r="E20" s="45"/>
      <c r="F20" s="34">
        <f t="shared" si="2"/>
        <v>15201.09</v>
      </c>
      <c r="M20" s="52">
        <v>45324.0</v>
      </c>
      <c r="N20" s="26" t="s">
        <v>113</v>
      </c>
      <c r="O20" s="53"/>
      <c r="P20" s="53">
        <v>18.5</v>
      </c>
    </row>
    <row r="21">
      <c r="A21" s="24" t="s">
        <v>91</v>
      </c>
      <c r="B21" s="26" t="s">
        <v>110</v>
      </c>
      <c r="C21" s="30" t="s">
        <v>111</v>
      </c>
      <c r="D21" s="48">
        <v>1832.75</v>
      </c>
      <c r="E21" s="45"/>
      <c r="F21" s="34">
        <f t="shared" si="2"/>
        <v>13368.34</v>
      </c>
      <c r="M21" s="52">
        <v>45324.0</v>
      </c>
      <c r="N21" s="26" t="s">
        <v>114</v>
      </c>
      <c r="O21" s="53"/>
      <c r="P21" s="53">
        <v>59.85</v>
      </c>
    </row>
    <row r="22">
      <c r="A22" s="24" t="s">
        <v>91</v>
      </c>
      <c r="B22" s="26" t="s">
        <v>110</v>
      </c>
      <c r="C22" s="30" t="s">
        <v>111</v>
      </c>
      <c r="D22" s="48">
        <v>508.5</v>
      </c>
      <c r="E22" s="45"/>
      <c r="F22" s="34">
        <f t="shared" si="2"/>
        <v>12859.84</v>
      </c>
      <c r="H22" s="41" t="s">
        <v>115</v>
      </c>
      <c r="I22" s="42">
        <f>E34+E38+E39</f>
        <v>5473.5</v>
      </c>
      <c r="M22" s="52">
        <v>45324.0</v>
      </c>
      <c r="N22" s="26" t="s">
        <v>113</v>
      </c>
      <c r="O22" s="53"/>
      <c r="P22" s="53">
        <v>78.2</v>
      </c>
    </row>
    <row r="23">
      <c r="A23" s="24" t="s">
        <v>91</v>
      </c>
      <c r="B23" s="26" t="s">
        <v>92</v>
      </c>
      <c r="C23" s="25"/>
      <c r="D23" s="48">
        <v>26.15</v>
      </c>
      <c r="E23" s="45"/>
      <c r="F23" s="34">
        <f t="shared" si="2"/>
        <v>12833.69</v>
      </c>
      <c r="H23" s="41" t="s">
        <v>118</v>
      </c>
      <c r="I23" s="42">
        <f>sum(D20+D21+D22+D40+D28+1485.5)</f>
        <v>6724.7</v>
      </c>
      <c r="M23" s="52">
        <v>44938.0</v>
      </c>
      <c r="N23" s="26" t="s">
        <v>124</v>
      </c>
      <c r="O23" s="53"/>
      <c r="P23" s="53">
        <v>134.64</v>
      </c>
    </row>
    <row r="24">
      <c r="A24" s="24" t="s">
        <v>91</v>
      </c>
      <c r="B24" s="26" t="s">
        <v>97</v>
      </c>
      <c r="C24" s="25"/>
      <c r="D24" s="48">
        <v>175.5</v>
      </c>
      <c r="E24" s="45"/>
      <c r="F24" s="34">
        <f t="shared" si="2"/>
        <v>12658.19</v>
      </c>
      <c r="H24" s="44" t="s">
        <v>56</v>
      </c>
      <c r="I24" s="60">
        <f>I22-I23</f>
        <v>-1251.2</v>
      </c>
      <c r="M24" s="52">
        <v>44968.0</v>
      </c>
      <c r="N24" s="26" t="s">
        <v>126</v>
      </c>
      <c r="O24" s="57"/>
      <c r="P24" s="53">
        <v>143.0</v>
      </c>
    </row>
    <row r="25">
      <c r="A25" s="24" t="s">
        <v>91</v>
      </c>
      <c r="B25" s="26" t="s">
        <v>130</v>
      </c>
      <c r="C25" s="30" t="s">
        <v>35</v>
      </c>
      <c r="D25" s="40">
        <v>500.0</v>
      </c>
      <c r="E25" s="39"/>
      <c r="F25" s="34">
        <f t="shared" si="2"/>
        <v>12158.19</v>
      </c>
    </row>
    <row r="26">
      <c r="A26" s="16">
        <v>44930.0</v>
      </c>
      <c r="B26" s="26" t="s">
        <v>22</v>
      </c>
      <c r="C26" s="30"/>
      <c r="D26" s="39"/>
      <c r="E26" s="39">
        <v>18.93</v>
      </c>
      <c r="F26" s="34">
        <f t="shared" si="2"/>
        <v>12177.12</v>
      </c>
      <c r="H26" s="41" t="s">
        <v>131</v>
      </c>
      <c r="I26" s="42">
        <f>E32+E35+E36+E37+E42+E27</f>
        <v>3308</v>
      </c>
    </row>
    <row r="27">
      <c r="A27" s="24" t="s">
        <v>132</v>
      </c>
      <c r="B27" s="26" t="s">
        <v>133</v>
      </c>
      <c r="C27" s="30" t="s">
        <v>131</v>
      </c>
      <c r="D27" s="45"/>
      <c r="E27" s="39">
        <v>748.5</v>
      </c>
      <c r="F27" s="34">
        <f t="shared" si="2"/>
        <v>12925.62</v>
      </c>
      <c r="H27" s="41" t="s">
        <v>137</v>
      </c>
      <c r="I27" s="42">
        <f>D44</f>
        <v>1499.52</v>
      </c>
    </row>
    <row r="28">
      <c r="A28" s="24" t="s">
        <v>101</v>
      </c>
      <c r="B28" s="26" t="s">
        <v>110</v>
      </c>
      <c r="C28" s="30" t="s">
        <v>111</v>
      </c>
      <c r="D28" s="61">
        <v>1461.35</v>
      </c>
      <c r="E28" s="39"/>
      <c r="F28" s="34">
        <f t="shared" si="2"/>
        <v>11464.27</v>
      </c>
      <c r="H28" s="41" t="s">
        <v>56</v>
      </c>
      <c r="I28" s="60">
        <f>I26-I27</f>
        <v>1808.48</v>
      </c>
    </row>
    <row r="29">
      <c r="A29" s="24" t="s">
        <v>101</v>
      </c>
      <c r="B29" s="26" t="s">
        <v>140</v>
      </c>
      <c r="C29" s="25"/>
      <c r="D29" s="61">
        <v>91.45</v>
      </c>
      <c r="E29" s="39"/>
      <c r="F29" s="34">
        <f t="shared" si="2"/>
        <v>11372.82</v>
      </c>
    </row>
    <row r="30">
      <c r="A30" s="24" t="s">
        <v>101</v>
      </c>
      <c r="B30" s="26" t="s">
        <v>102</v>
      </c>
      <c r="C30" s="30"/>
      <c r="D30" s="61">
        <v>175.92</v>
      </c>
      <c r="E30" s="45"/>
      <c r="F30" s="34">
        <f t="shared" si="2"/>
        <v>11196.9</v>
      </c>
    </row>
    <row r="31">
      <c r="A31" s="16">
        <v>44931.0</v>
      </c>
      <c r="B31" s="26" t="s">
        <v>22</v>
      </c>
      <c r="C31" s="30"/>
      <c r="D31" s="39"/>
      <c r="E31" s="39">
        <v>21.28</v>
      </c>
      <c r="F31" s="34">
        <f t="shared" si="2"/>
        <v>11218.18</v>
      </c>
      <c r="H31" s="41" t="s">
        <v>144</v>
      </c>
    </row>
    <row r="32">
      <c r="A32" s="16">
        <v>44962.0</v>
      </c>
      <c r="B32" s="26" t="s">
        <v>133</v>
      </c>
      <c r="C32" s="30" t="s">
        <v>131</v>
      </c>
      <c r="D32" s="45"/>
      <c r="E32" s="39">
        <v>555.0</v>
      </c>
      <c r="F32" s="34">
        <f t="shared" si="2"/>
        <v>11773.18</v>
      </c>
      <c r="H32" s="41" t="s">
        <v>147</v>
      </c>
      <c r="I32" s="42">
        <v>11900.0</v>
      </c>
    </row>
    <row r="33">
      <c r="A33" s="16">
        <v>45082.0</v>
      </c>
      <c r="B33" s="26" t="s">
        <v>148</v>
      </c>
      <c r="C33" s="30"/>
      <c r="D33" s="39"/>
      <c r="E33" s="39">
        <v>16995.0</v>
      </c>
      <c r="F33" s="34">
        <f t="shared" si="2"/>
        <v>28768.18</v>
      </c>
      <c r="H33" s="41" t="s">
        <v>149</v>
      </c>
      <c r="I33" s="42">
        <v>4072.0</v>
      </c>
    </row>
    <row r="34">
      <c r="A34" s="62">
        <v>45235.0</v>
      </c>
      <c r="B34" s="26" t="s">
        <v>150</v>
      </c>
      <c r="C34" s="30" t="s">
        <v>111</v>
      </c>
      <c r="D34" s="45"/>
      <c r="E34" s="39">
        <v>4461.8</v>
      </c>
      <c r="F34" s="34">
        <f t="shared" si="2"/>
        <v>33229.98</v>
      </c>
      <c r="I34" s="42"/>
    </row>
    <row r="35">
      <c r="A35" s="62">
        <v>45235.0</v>
      </c>
      <c r="B35" s="26" t="s">
        <v>153</v>
      </c>
      <c r="C35" s="30" t="s">
        <v>131</v>
      </c>
      <c r="D35" s="20"/>
      <c r="E35" s="63">
        <v>60.0</v>
      </c>
      <c r="F35" s="34">
        <f t="shared" si="2"/>
        <v>33289.98</v>
      </c>
      <c r="H35" s="44" t="s">
        <v>156</v>
      </c>
      <c r="I35" s="60">
        <v>3194.4</v>
      </c>
    </row>
    <row r="36">
      <c r="A36" s="24" t="s">
        <v>158</v>
      </c>
      <c r="B36" s="26" t="s">
        <v>153</v>
      </c>
      <c r="C36" s="30" t="s">
        <v>131</v>
      </c>
      <c r="D36" s="20"/>
      <c r="E36" s="63">
        <v>1366.5</v>
      </c>
      <c r="F36" s="34">
        <f t="shared" si="2"/>
        <v>34656.48</v>
      </c>
      <c r="H36" s="41" t="s">
        <v>159</v>
      </c>
      <c r="I36" s="42">
        <v>8705.6</v>
      </c>
    </row>
    <row r="37">
      <c r="A37" s="24" t="s">
        <v>160</v>
      </c>
      <c r="B37" s="26" t="s">
        <v>153</v>
      </c>
      <c r="C37" s="30" t="s">
        <v>131</v>
      </c>
      <c r="D37" s="19"/>
      <c r="E37" s="63">
        <v>220.0</v>
      </c>
      <c r="F37" s="34">
        <f t="shared" si="2"/>
        <v>34876.48</v>
      </c>
      <c r="I37" s="42"/>
    </row>
    <row r="38">
      <c r="A38" s="64" t="s">
        <v>160</v>
      </c>
      <c r="B38" s="26" t="s">
        <v>150</v>
      </c>
      <c r="C38" s="30" t="s">
        <v>111</v>
      </c>
      <c r="D38" s="57"/>
      <c r="E38" s="53">
        <v>830.0</v>
      </c>
      <c r="F38" s="34">
        <f t="shared" si="2"/>
        <v>35706.48</v>
      </c>
      <c r="H38" s="41" t="s">
        <v>165</v>
      </c>
      <c r="I38" s="65">
        <v>523.0</v>
      </c>
    </row>
    <row r="39">
      <c r="A39" s="64" t="s">
        <v>160</v>
      </c>
      <c r="B39" s="26" t="s">
        <v>150</v>
      </c>
      <c r="C39" s="30" t="s">
        <v>111</v>
      </c>
      <c r="D39" s="57"/>
      <c r="E39" s="63">
        <v>181.7</v>
      </c>
      <c r="F39" s="34">
        <f t="shared" si="2"/>
        <v>35888.18</v>
      </c>
    </row>
    <row r="40">
      <c r="A40" s="64" t="s">
        <v>160</v>
      </c>
      <c r="B40" s="26" t="s">
        <v>110</v>
      </c>
      <c r="C40" s="30" t="s">
        <v>111</v>
      </c>
      <c r="D40" s="66">
        <v>330.0</v>
      </c>
      <c r="E40" s="63"/>
      <c r="F40" s="34">
        <f t="shared" si="2"/>
        <v>35558.18</v>
      </c>
      <c r="H40" s="44" t="s">
        <v>177</v>
      </c>
      <c r="I40" s="67">
        <v>900.0</v>
      </c>
    </row>
    <row r="41">
      <c r="A41" s="64" t="s">
        <v>160</v>
      </c>
      <c r="B41" s="26" t="s">
        <v>178</v>
      </c>
      <c r="C41" s="30" t="s">
        <v>20</v>
      </c>
      <c r="D41" s="66">
        <v>15872.8</v>
      </c>
      <c r="E41" s="63"/>
      <c r="F41" s="34">
        <f t="shared" si="2"/>
        <v>19685.38</v>
      </c>
    </row>
    <row r="42">
      <c r="A42" s="64" t="s">
        <v>180</v>
      </c>
      <c r="B42" s="26" t="s">
        <v>153</v>
      </c>
      <c r="C42" s="30" t="s">
        <v>131</v>
      </c>
      <c r="D42" s="69"/>
      <c r="E42" s="63">
        <v>358.0</v>
      </c>
      <c r="F42" s="34">
        <f t="shared" si="2"/>
        <v>20043.38</v>
      </c>
      <c r="H42" s="41" t="s">
        <v>184</v>
      </c>
      <c r="I42" s="42">
        <f>sum(D48:D50)+D53</f>
        <v>3751.75</v>
      </c>
    </row>
    <row r="43">
      <c r="A43" s="52">
        <v>44932.0</v>
      </c>
      <c r="B43" s="26" t="s">
        <v>22</v>
      </c>
      <c r="C43" s="25"/>
      <c r="D43" s="69"/>
      <c r="E43" s="63">
        <v>43.99</v>
      </c>
      <c r="F43" s="34">
        <f t="shared" si="2"/>
        <v>20087.37</v>
      </c>
      <c r="H43" s="41" t="s">
        <v>187</v>
      </c>
      <c r="I43" s="42">
        <f>E61+E66</f>
        <v>5644.1</v>
      </c>
    </row>
    <row r="44">
      <c r="A44" s="52">
        <v>45052.0</v>
      </c>
      <c r="B44" s="26" t="s">
        <v>188</v>
      </c>
      <c r="C44" s="30" t="s">
        <v>131</v>
      </c>
      <c r="D44" s="66">
        <v>1499.52</v>
      </c>
      <c r="E44" s="69"/>
      <c r="F44" s="34">
        <f t="shared" si="2"/>
        <v>18587.85</v>
      </c>
    </row>
    <row r="45">
      <c r="A45" s="64" t="s">
        <v>191</v>
      </c>
      <c r="B45" s="26" t="s">
        <v>192</v>
      </c>
      <c r="C45" s="30" t="s">
        <v>111</v>
      </c>
      <c r="D45" s="66">
        <v>1485.5</v>
      </c>
      <c r="E45" s="53"/>
      <c r="F45" s="34">
        <f t="shared" si="2"/>
        <v>17102.35</v>
      </c>
      <c r="H45" s="44" t="s">
        <v>195</v>
      </c>
      <c r="I45" s="60">
        <f>I43-I42</f>
        <v>1892.35</v>
      </c>
    </row>
    <row r="46">
      <c r="A46" s="52">
        <v>44933.0</v>
      </c>
      <c r="B46" s="26" t="s">
        <v>22</v>
      </c>
      <c r="C46" s="25"/>
      <c r="D46" s="69"/>
      <c r="E46" s="53">
        <v>38.39</v>
      </c>
      <c r="F46" s="34">
        <f t="shared" si="2"/>
        <v>17140.74</v>
      </c>
    </row>
    <row r="47">
      <c r="A47" s="52">
        <v>44934.0</v>
      </c>
      <c r="B47" s="26" t="s">
        <v>22</v>
      </c>
      <c r="C47" s="25"/>
      <c r="D47" s="69"/>
      <c r="E47" s="53">
        <v>37.85</v>
      </c>
      <c r="F47" s="34">
        <f t="shared" si="2"/>
        <v>17178.59</v>
      </c>
      <c r="H47" s="41" t="s">
        <v>199</v>
      </c>
      <c r="I47" s="42">
        <f>D54+D55+D77+D78</f>
        <v>1059.5</v>
      </c>
    </row>
    <row r="48">
      <c r="A48" s="64" t="s">
        <v>205</v>
      </c>
      <c r="B48" s="26" t="s">
        <v>206</v>
      </c>
      <c r="C48" s="30" t="s">
        <v>207</v>
      </c>
      <c r="D48" s="66">
        <v>1041.5</v>
      </c>
      <c r="E48" s="53"/>
      <c r="F48" s="34">
        <f t="shared" si="2"/>
        <v>16137.09</v>
      </c>
      <c r="H48" s="41" t="s">
        <v>56</v>
      </c>
      <c r="I48" s="42">
        <f>E59+E52+E60</f>
        <v>2230.2</v>
      </c>
    </row>
    <row r="49">
      <c r="A49" s="64" t="s">
        <v>205</v>
      </c>
      <c r="B49" s="26" t="s">
        <v>211</v>
      </c>
      <c r="C49" s="30" t="s">
        <v>207</v>
      </c>
      <c r="D49" s="66">
        <v>1422.75</v>
      </c>
      <c r="E49" s="53"/>
      <c r="F49" s="34">
        <f t="shared" si="2"/>
        <v>14714.34</v>
      </c>
      <c r="H49" s="44" t="s">
        <v>214</v>
      </c>
      <c r="I49" s="60">
        <f>I48-I47</f>
        <v>1170.7</v>
      </c>
    </row>
    <row r="50">
      <c r="A50" s="64" t="s">
        <v>205</v>
      </c>
      <c r="B50" s="26" t="s">
        <v>218</v>
      </c>
      <c r="C50" s="30" t="s">
        <v>207</v>
      </c>
      <c r="D50" s="66">
        <v>1236.0</v>
      </c>
      <c r="E50" s="53"/>
      <c r="F50" s="34">
        <f t="shared" si="2"/>
        <v>13478.34</v>
      </c>
    </row>
    <row r="51">
      <c r="A51" s="64" t="s">
        <v>205</v>
      </c>
      <c r="B51" s="26" t="s">
        <v>222</v>
      </c>
      <c r="C51" s="25"/>
      <c r="D51" s="66">
        <v>2085.0</v>
      </c>
      <c r="E51" s="53"/>
      <c r="F51" s="34">
        <f t="shared" si="2"/>
        <v>11393.34</v>
      </c>
      <c r="H51" s="41" t="s">
        <v>227</v>
      </c>
      <c r="I51" s="42">
        <f>D64+D74+D75+D76+D77+D78</f>
        <v>1169.45</v>
      </c>
    </row>
    <row r="52">
      <c r="A52" s="64" t="s">
        <v>231</v>
      </c>
      <c r="B52" s="26" t="s">
        <v>232</v>
      </c>
      <c r="C52" s="30" t="s">
        <v>233</v>
      </c>
      <c r="D52" s="69"/>
      <c r="E52" s="53">
        <v>895.3</v>
      </c>
      <c r="F52" s="34">
        <f t="shared" si="2"/>
        <v>12288.64</v>
      </c>
      <c r="H52" s="41" t="s">
        <v>238</v>
      </c>
      <c r="I52" s="42">
        <f>E67</f>
        <v>828.51</v>
      </c>
    </row>
    <row r="53">
      <c r="A53" s="64" t="s">
        <v>239</v>
      </c>
      <c r="B53" s="26" t="s">
        <v>240</v>
      </c>
      <c r="C53" s="30" t="s">
        <v>207</v>
      </c>
      <c r="D53" s="66">
        <v>51.5</v>
      </c>
      <c r="E53" s="53"/>
      <c r="F53" s="34">
        <f t="shared" si="2"/>
        <v>12237.14</v>
      </c>
      <c r="I53" s="60">
        <f>I52-I51</f>
        <v>-340.94</v>
      </c>
    </row>
    <row r="54">
      <c r="A54" s="64" t="s">
        <v>239</v>
      </c>
      <c r="B54" s="26" t="s">
        <v>244</v>
      </c>
      <c r="C54" s="30" t="s">
        <v>233</v>
      </c>
      <c r="D54" s="66">
        <v>18.6</v>
      </c>
      <c r="E54" s="53"/>
      <c r="F54" s="34">
        <f t="shared" si="2"/>
        <v>12218.54</v>
      </c>
    </row>
    <row r="55">
      <c r="A55" s="64" t="s">
        <v>239</v>
      </c>
      <c r="B55" s="26" t="s">
        <v>248</v>
      </c>
      <c r="C55" s="30" t="s">
        <v>233</v>
      </c>
      <c r="D55" s="53">
        <v>950.0</v>
      </c>
      <c r="E55" s="53"/>
      <c r="F55" s="34">
        <f t="shared" si="2"/>
        <v>11268.54</v>
      </c>
      <c r="H55" s="41" t="s">
        <v>251</v>
      </c>
      <c r="I55" s="42">
        <f>D69+D70+D80</f>
        <v>289.1</v>
      </c>
    </row>
    <row r="56">
      <c r="A56" s="52">
        <v>44935.0</v>
      </c>
      <c r="B56" s="26" t="s">
        <v>22</v>
      </c>
      <c r="C56" s="25"/>
      <c r="D56" s="69"/>
      <c r="E56" s="53">
        <v>30.97</v>
      </c>
      <c r="F56" s="34">
        <f t="shared" si="2"/>
        <v>11299.51</v>
      </c>
      <c r="H56" s="41" t="s">
        <v>256</v>
      </c>
      <c r="I56" s="42">
        <f>E62+E65</f>
        <v>4267.58</v>
      </c>
    </row>
    <row r="57">
      <c r="A57" s="52">
        <v>44935.0</v>
      </c>
      <c r="B57" s="26" t="s">
        <v>265</v>
      </c>
      <c r="C57" s="30" t="s">
        <v>131</v>
      </c>
      <c r="D57" s="69"/>
      <c r="E57" s="53">
        <v>100.0</v>
      </c>
      <c r="F57" s="34">
        <f t="shared" si="2"/>
        <v>11399.51</v>
      </c>
      <c r="H57" s="44" t="s">
        <v>268</v>
      </c>
      <c r="I57" s="60">
        <f>I56-I55</f>
        <v>3978.48</v>
      </c>
      <c r="K57" s="42">
        <f>I57+I53+I49+I45+I40+I35+I28+I24</f>
        <v>11352.27</v>
      </c>
    </row>
    <row r="58">
      <c r="A58" s="52">
        <v>44935.0</v>
      </c>
      <c r="B58" s="26" t="s">
        <v>279</v>
      </c>
      <c r="C58" s="30" t="s">
        <v>111</v>
      </c>
      <c r="D58" s="69"/>
      <c r="E58" s="53">
        <v>10.0</v>
      </c>
      <c r="F58" s="34">
        <f t="shared" si="2"/>
        <v>11409.51</v>
      </c>
    </row>
    <row r="59">
      <c r="A59" s="52">
        <v>44935.0</v>
      </c>
      <c r="B59" s="26" t="s">
        <v>283</v>
      </c>
      <c r="C59" s="30" t="s">
        <v>233</v>
      </c>
      <c r="D59" s="69"/>
      <c r="E59" s="53">
        <v>1279.3</v>
      </c>
      <c r="F59" s="34">
        <f t="shared" si="2"/>
        <v>12688.81</v>
      </c>
    </row>
    <row r="60">
      <c r="A60" s="52">
        <v>44935.0</v>
      </c>
      <c r="B60" s="26" t="s">
        <v>286</v>
      </c>
      <c r="C60" s="30" t="s">
        <v>233</v>
      </c>
      <c r="D60" s="69"/>
      <c r="E60" s="53">
        <v>55.6</v>
      </c>
      <c r="F60" s="34">
        <f t="shared" si="2"/>
        <v>12744.41</v>
      </c>
    </row>
    <row r="61">
      <c r="A61" s="52">
        <v>44935.0</v>
      </c>
      <c r="B61" s="26" t="s">
        <v>290</v>
      </c>
      <c r="C61" s="30" t="s">
        <v>207</v>
      </c>
      <c r="D61" s="69"/>
      <c r="E61" s="53">
        <v>5629.1</v>
      </c>
      <c r="F61" s="34">
        <f t="shared" si="2"/>
        <v>18373.51</v>
      </c>
    </row>
    <row r="62">
      <c r="A62" s="64" t="s">
        <v>292</v>
      </c>
      <c r="B62" s="26" t="s">
        <v>295</v>
      </c>
      <c r="C62" s="30" t="s">
        <v>296</v>
      </c>
      <c r="D62" s="69"/>
      <c r="E62" s="53">
        <v>615.48</v>
      </c>
      <c r="F62" s="34">
        <f t="shared" si="2"/>
        <v>18988.99</v>
      </c>
    </row>
    <row r="63">
      <c r="A63" s="52">
        <v>44936.0</v>
      </c>
      <c r="B63" s="26" t="s">
        <v>22</v>
      </c>
      <c r="C63" s="25"/>
      <c r="D63" s="69"/>
      <c r="E63" s="53">
        <v>39.75</v>
      </c>
      <c r="F63" s="34">
        <f t="shared" si="2"/>
        <v>19028.74</v>
      </c>
    </row>
    <row r="64">
      <c r="A64" s="52">
        <v>45209.0</v>
      </c>
      <c r="B64" s="26" t="s">
        <v>304</v>
      </c>
      <c r="C64" s="30" t="s">
        <v>305</v>
      </c>
      <c r="D64" s="53">
        <v>400.0</v>
      </c>
      <c r="E64" s="53"/>
      <c r="F64" s="34">
        <f t="shared" si="2"/>
        <v>18628.74</v>
      </c>
    </row>
    <row r="65">
      <c r="A65" s="52">
        <v>45209.0</v>
      </c>
      <c r="B65" s="26" t="s">
        <v>309</v>
      </c>
      <c r="C65" s="30" t="s">
        <v>296</v>
      </c>
      <c r="D65" s="69"/>
      <c r="E65" s="53">
        <v>3652.1</v>
      </c>
      <c r="F65" s="34">
        <f t="shared" si="2"/>
        <v>22280.84</v>
      </c>
    </row>
    <row r="66">
      <c r="A66" s="52">
        <v>45209.0</v>
      </c>
      <c r="B66" s="26" t="s">
        <v>290</v>
      </c>
      <c r="C66" s="30" t="s">
        <v>207</v>
      </c>
      <c r="D66" s="69"/>
      <c r="E66" s="53">
        <v>15.0</v>
      </c>
      <c r="F66" s="34">
        <f t="shared" si="2"/>
        <v>22295.84</v>
      </c>
    </row>
    <row r="67">
      <c r="A67" s="64" t="s">
        <v>313</v>
      </c>
      <c r="B67" s="26" t="s">
        <v>316</v>
      </c>
      <c r="C67" s="30" t="s">
        <v>305</v>
      </c>
      <c r="D67" s="69"/>
      <c r="E67" s="53">
        <v>828.51</v>
      </c>
      <c r="F67" s="34">
        <f t="shared" si="2"/>
        <v>23124.35</v>
      </c>
    </row>
    <row r="68">
      <c r="A68" s="52">
        <v>44937.0</v>
      </c>
      <c r="B68" s="26" t="s">
        <v>22</v>
      </c>
      <c r="C68" s="25"/>
      <c r="D68" s="69"/>
      <c r="E68" s="53">
        <v>47.91</v>
      </c>
      <c r="F68" s="34">
        <f t="shared" si="2"/>
        <v>23172.26</v>
      </c>
    </row>
    <row r="69">
      <c r="A69" s="52">
        <v>44968.0</v>
      </c>
      <c r="B69" s="26" t="s">
        <v>324</v>
      </c>
      <c r="C69" s="30" t="s">
        <v>296</v>
      </c>
      <c r="D69" s="66">
        <v>151.1</v>
      </c>
      <c r="E69" s="53"/>
      <c r="F69" s="34">
        <f t="shared" si="2"/>
        <v>23021.16</v>
      </c>
    </row>
    <row r="70">
      <c r="A70" s="52">
        <v>44968.0</v>
      </c>
      <c r="B70" s="26" t="s">
        <v>327</v>
      </c>
      <c r="C70" s="30" t="s">
        <v>296</v>
      </c>
      <c r="D70" s="66">
        <v>66.0</v>
      </c>
      <c r="E70" s="53"/>
      <c r="F70" s="34">
        <f t="shared" si="2"/>
        <v>22955.16</v>
      </c>
    </row>
    <row r="71">
      <c r="A71" s="52">
        <v>44968.0</v>
      </c>
      <c r="B71" s="26" t="s">
        <v>126</v>
      </c>
      <c r="C71" s="25"/>
      <c r="D71" s="66">
        <v>143.0</v>
      </c>
      <c r="E71" s="53"/>
      <c r="F71" s="34">
        <f t="shared" si="2"/>
        <v>22812.16</v>
      </c>
    </row>
    <row r="72">
      <c r="A72" s="52">
        <v>44938.0</v>
      </c>
      <c r="B72" s="26" t="s">
        <v>335</v>
      </c>
      <c r="C72" s="30" t="s">
        <v>305</v>
      </c>
      <c r="D72" s="66">
        <v>209.9</v>
      </c>
      <c r="E72" s="53"/>
      <c r="F72" s="34">
        <f t="shared" si="2"/>
        <v>22602.26</v>
      </c>
    </row>
    <row r="73">
      <c r="A73" s="52">
        <v>44938.0</v>
      </c>
      <c r="B73" s="26" t="s">
        <v>124</v>
      </c>
      <c r="C73" s="90"/>
      <c r="D73" s="66">
        <v>134.64</v>
      </c>
      <c r="E73" s="53"/>
      <c r="F73" s="34">
        <f t="shared" si="2"/>
        <v>22467.62</v>
      </c>
    </row>
    <row r="74">
      <c r="A74" s="52">
        <v>44938.0</v>
      </c>
      <c r="B74" s="26" t="s">
        <v>339</v>
      </c>
      <c r="C74" s="30" t="s">
        <v>305</v>
      </c>
      <c r="D74" s="66">
        <v>586.55</v>
      </c>
      <c r="E74" s="53"/>
      <c r="F74" s="34">
        <f t="shared" si="2"/>
        <v>21881.07</v>
      </c>
    </row>
    <row r="75">
      <c r="A75" s="52">
        <v>44938.0</v>
      </c>
      <c r="B75" s="26" t="s">
        <v>340</v>
      </c>
      <c r="C75" s="30" t="s">
        <v>305</v>
      </c>
      <c r="D75" s="66">
        <v>12.0</v>
      </c>
      <c r="E75" s="53"/>
      <c r="F75" s="34">
        <f t="shared" si="2"/>
        <v>21869.07</v>
      </c>
    </row>
    <row r="76">
      <c r="A76" s="52">
        <v>44938.0</v>
      </c>
      <c r="B76" s="26" t="s">
        <v>342</v>
      </c>
      <c r="C76" s="30" t="s">
        <v>305</v>
      </c>
      <c r="D76" s="66">
        <v>80.0</v>
      </c>
      <c r="E76" s="53"/>
      <c r="F76" s="34">
        <f t="shared" si="2"/>
        <v>21789.07</v>
      </c>
    </row>
    <row r="77">
      <c r="A77" s="52">
        <v>44938.0</v>
      </c>
      <c r="B77" s="26" t="s">
        <v>345</v>
      </c>
      <c r="C77" s="30" t="s">
        <v>305</v>
      </c>
      <c r="D77" s="66">
        <v>20.9</v>
      </c>
      <c r="E77" s="53"/>
      <c r="F77" s="34">
        <f t="shared" si="2"/>
        <v>21768.17</v>
      </c>
    </row>
    <row r="78">
      <c r="A78" s="52">
        <v>44938.0</v>
      </c>
      <c r="B78" s="26" t="s">
        <v>342</v>
      </c>
      <c r="C78" s="30" t="s">
        <v>305</v>
      </c>
      <c r="D78" s="66">
        <v>70.0</v>
      </c>
      <c r="E78" s="53"/>
      <c r="F78" s="34">
        <f t="shared" si="2"/>
        <v>21698.17</v>
      </c>
    </row>
    <row r="79">
      <c r="A79" s="52">
        <v>44938.0</v>
      </c>
      <c r="B79" s="26" t="s">
        <v>108</v>
      </c>
      <c r="C79" s="90"/>
      <c r="D79" s="66">
        <v>550.0</v>
      </c>
      <c r="E79" s="53"/>
      <c r="F79" s="34">
        <f t="shared" si="2"/>
        <v>21148.17</v>
      </c>
    </row>
    <row r="80">
      <c r="A80" s="52">
        <v>44938.0</v>
      </c>
      <c r="B80" s="26" t="s">
        <v>354</v>
      </c>
      <c r="C80" s="30" t="s">
        <v>296</v>
      </c>
      <c r="D80" s="66">
        <v>72.0</v>
      </c>
      <c r="E80" s="53"/>
      <c r="F80" s="34">
        <f t="shared" si="2"/>
        <v>21076.17</v>
      </c>
    </row>
    <row r="81">
      <c r="A81" s="52">
        <v>44938.0</v>
      </c>
      <c r="B81" s="26" t="s">
        <v>22</v>
      </c>
      <c r="C81" s="90"/>
      <c r="D81" s="53"/>
      <c r="E81" s="53">
        <v>52.37</v>
      </c>
      <c r="F81" s="34">
        <f t="shared" si="2"/>
        <v>21128.54</v>
      </c>
    </row>
    <row r="82">
      <c r="A82" s="52">
        <v>45058.0</v>
      </c>
      <c r="B82" s="26" t="s">
        <v>360</v>
      </c>
      <c r="C82" s="90" t="s">
        <v>44</v>
      </c>
      <c r="D82" s="53"/>
      <c r="E82" s="53">
        <v>172.2</v>
      </c>
      <c r="F82" s="34">
        <f t="shared" si="2"/>
        <v>21300.74</v>
      </c>
    </row>
    <row r="83">
      <c r="A83" s="52" t="s">
        <v>363</v>
      </c>
      <c r="B83" s="26" t="s">
        <v>360</v>
      </c>
      <c r="C83" s="90" t="s">
        <v>44</v>
      </c>
      <c r="D83" s="53"/>
      <c r="E83" s="53">
        <v>895.44</v>
      </c>
      <c r="F83" s="34">
        <f t="shared" si="2"/>
        <v>22196.18</v>
      </c>
    </row>
    <row r="84">
      <c r="A84" s="52">
        <v>45292.0</v>
      </c>
      <c r="B84" s="26" t="s">
        <v>22</v>
      </c>
      <c r="C84" s="90"/>
      <c r="D84" s="53"/>
      <c r="E84" s="53">
        <v>52.34</v>
      </c>
      <c r="F84" s="34">
        <f t="shared" si="2"/>
        <v>22248.52</v>
      </c>
    </row>
    <row r="85">
      <c r="A85" s="52">
        <v>45293.0</v>
      </c>
      <c r="B85" s="26" t="s">
        <v>22</v>
      </c>
      <c r="C85" s="90"/>
      <c r="D85" s="53"/>
      <c r="E85" s="53">
        <v>53.85</v>
      </c>
      <c r="F85" s="34">
        <f t="shared" si="2"/>
        <v>22302.37</v>
      </c>
    </row>
    <row r="86">
      <c r="A86" s="52">
        <v>45324.0</v>
      </c>
      <c r="B86" s="26" t="s">
        <v>371</v>
      </c>
      <c r="C86" s="90" t="s">
        <v>44</v>
      </c>
      <c r="D86" s="53"/>
      <c r="E86" s="53">
        <v>4098.0</v>
      </c>
      <c r="F86" s="34">
        <f t="shared" si="2"/>
        <v>26400.37</v>
      </c>
    </row>
    <row r="87">
      <c r="A87" s="52">
        <v>45324.0</v>
      </c>
      <c r="B87" s="26" t="s">
        <v>113</v>
      </c>
      <c r="C87" s="90"/>
      <c r="D87" s="66">
        <v>18.5</v>
      </c>
      <c r="E87" s="53"/>
      <c r="F87" s="34">
        <f t="shared" si="2"/>
        <v>26381.87</v>
      </c>
    </row>
    <row r="88">
      <c r="A88" s="52">
        <v>45324.0</v>
      </c>
      <c r="B88" s="26" t="s">
        <v>114</v>
      </c>
      <c r="C88" s="90"/>
      <c r="D88" s="66">
        <v>59.85</v>
      </c>
      <c r="E88" s="53"/>
      <c r="F88" s="34">
        <f t="shared" si="2"/>
        <v>26322.02</v>
      </c>
    </row>
    <row r="89">
      <c r="A89" s="52">
        <v>45324.0</v>
      </c>
      <c r="B89" s="26" t="s">
        <v>113</v>
      </c>
      <c r="C89" s="90"/>
      <c r="D89" s="66">
        <v>78.2</v>
      </c>
      <c r="E89" s="53"/>
      <c r="F89" s="34">
        <f t="shared" si="2"/>
        <v>26243.82</v>
      </c>
    </row>
    <row r="90">
      <c r="A90" s="52">
        <v>45324.0</v>
      </c>
      <c r="B90" s="26" t="s">
        <v>377</v>
      </c>
      <c r="C90" s="90" t="s">
        <v>44</v>
      </c>
      <c r="D90" s="66">
        <v>8705.6</v>
      </c>
      <c r="E90" s="53"/>
      <c r="F90" s="34">
        <f t="shared" si="2"/>
        <v>17538.22</v>
      </c>
    </row>
    <row r="91">
      <c r="A91" s="52">
        <v>45334.0</v>
      </c>
      <c r="B91" s="26" t="s">
        <v>379</v>
      </c>
      <c r="C91" s="90" t="s">
        <v>44</v>
      </c>
      <c r="D91" s="53"/>
      <c r="E91" s="53">
        <v>6563.65</v>
      </c>
      <c r="F91" s="34">
        <f t="shared" si="2"/>
        <v>24101.87</v>
      </c>
      <c r="H91" s="42">
        <f>E91+E86+E82+E83-D90</f>
        <v>3023.69</v>
      </c>
    </row>
    <row r="92">
      <c r="A92" s="52">
        <v>45294.0</v>
      </c>
      <c r="B92" s="26" t="s">
        <v>22</v>
      </c>
      <c r="C92" s="90"/>
      <c r="D92" s="53"/>
      <c r="E92" s="53">
        <v>49.31</v>
      </c>
      <c r="F92" s="34">
        <f t="shared" si="2"/>
        <v>24151.18</v>
      </c>
      <c r="H92" s="41">
        <v>900.0</v>
      </c>
    </row>
  </sheetData>
  <customSheetViews>
    <customSheetView guid="{75BCACDC-D181-47F3-89FE-01A41D98E771}" filter="1" showAutoFilter="1">
      <autoFilter ref="$A$4:$F$47"/>
    </customSheetView>
  </customSheetViews>
  <mergeCells count="3">
    <mergeCell ref="A1:F1"/>
    <mergeCell ref="A2:F2"/>
    <mergeCell ref="A3:F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  <col customWidth="1" min="3" max="3" width="27.0"/>
    <col customWidth="1" min="8" max="8" width="19.88"/>
  </cols>
  <sheetData>
    <row r="1">
      <c r="A1" s="2" t="s">
        <v>3</v>
      </c>
    </row>
    <row r="2">
      <c r="A2" s="3" t="s">
        <v>1</v>
      </c>
      <c r="B2" s="4"/>
      <c r="C2" s="4"/>
      <c r="D2" s="4"/>
      <c r="E2" s="4"/>
      <c r="F2" s="4"/>
    </row>
    <row r="3">
      <c r="A3" s="5" t="s">
        <v>4</v>
      </c>
      <c r="B3" s="6"/>
      <c r="C3" s="6"/>
      <c r="D3" s="6"/>
      <c r="E3" s="6"/>
      <c r="F3" s="6"/>
    </row>
    <row r="4">
      <c r="A4" s="8" t="s">
        <v>5</v>
      </c>
      <c r="B4" s="10" t="s">
        <v>7</v>
      </c>
      <c r="C4" s="11" t="s">
        <v>11</v>
      </c>
      <c r="D4" s="11" t="s">
        <v>9</v>
      </c>
      <c r="E4" s="14" t="s">
        <v>10</v>
      </c>
      <c r="F4" s="15" t="s">
        <v>12</v>
      </c>
    </row>
    <row r="5">
      <c r="A5" s="21">
        <v>45294.0</v>
      </c>
      <c r="B5" s="23" t="s">
        <v>13</v>
      </c>
      <c r="C5" s="25"/>
      <c r="D5" s="19"/>
      <c r="E5" s="20">
        <v>24151.179999999997</v>
      </c>
      <c r="F5" s="34">
        <v>24151.179999999997</v>
      </c>
    </row>
    <row r="6">
      <c r="A6" s="35">
        <v>45295.0</v>
      </c>
      <c r="B6" s="26" t="s">
        <v>22</v>
      </c>
      <c r="C6" s="30"/>
      <c r="D6" s="19"/>
      <c r="E6" s="20">
        <v>58.46</v>
      </c>
      <c r="F6" s="34">
        <f>F5+E6</f>
        <v>24209.64</v>
      </c>
      <c r="H6" s="41" t="s">
        <v>36</v>
      </c>
      <c r="I6" s="41">
        <v>5519.85</v>
      </c>
    </row>
    <row r="7">
      <c r="A7" s="16">
        <v>45416.0</v>
      </c>
      <c r="B7" s="26" t="s">
        <v>42</v>
      </c>
      <c r="C7" s="30" t="s">
        <v>20</v>
      </c>
      <c r="D7" s="19"/>
      <c r="E7" s="20">
        <v>532.0</v>
      </c>
      <c r="F7" s="34">
        <f t="shared" ref="F7:F49" si="1">F6+E7-D7</f>
        <v>24741.64</v>
      </c>
      <c r="H7" s="41" t="s">
        <v>54</v>
      </c>
      <c r="I7" s="41">
        <v>5305.28</v>
      </c>
    </row>
    <row r="8">
      <c r="A8" s="16">
        <v>45416.0</v>
      </c>
      <c r="B8" s="26" t="s">
        <v>59</v>
      </c>
      <c r="C8" s="26" t="s">
        <v>61</v>
      </c>
      <c r="D8" s="20">
        <v>625.0</v>
      </c>
      <c r="E8" s="39"/>
      <c r="F8" s="34">
        <f t="shared" si="1"/>
        <v>24116.64</v>
      </c>
      <c r="H8" s="44" t="s">
        <v>56</v>
      </c>
      <c r="I8" s="47">
        <f>I6-I7</f>
        <v>214.57</v>
      </c>
    </row>
    <row r="9">
      <c r="A9" s="16">
        <v>45508.0</v>
      </c>
      <c r="B9" s="26" t="s">
        <v>75</v>
      </c>
      <c r="C9" s="30" t="s">
        <v>76</v>
      </c>
      <c r="D9" s="39">
        <v>2457.4</v>
      </c>
      <c r="E9" s="39"/>
      <c r="F9" s="34">
        <f t="shared" si="1"/>
        <v>21659.24</v>
      </c>
    </row>
    <row r="10">
      <c r="A10" s="24" t="s">
        <v>81</v>
      </c>
      <c r="B10" s="17" t="s">
        <v>83</v>
      </c>
      <c r="C10" s="30"/>
      <c r="D10" s="19"/>
      <c r="E10" s="39">
        <v>340.0</v>
      </c>
      <c r="F10" s="34">
        <f t="shared" si="1"/>
        <v>21999.24</v>
      </c>
    </row>
    <row r="11">
      <c r="A11" s="16">
        <v>45296.0</v>
      </c>
      <c r="B11" s="26" t="s">
        <v>22</v>
      </c>
      <c r="C11" s="30"/>
      <c r="D11" s="20"/>
      <c r="E11" s="39">
        <v>52.51</v>
      </c>
      <c r="F11" s="34">
        <f t="shared" si="1"/>
        <v>22051.75</v>
      </c>
      <c r="H11" s="41" t="s">
        <v>96</v>
      </c>
      <c r="I11" s="41">
        <v>4573.45</v>
      </c>
    </row>
    <row r="12">
      <c r="A12" s="24" t="s">
        <v>98</v>
      </c>
      <c r="B12" s="26" t="s">
        <v>99</v>
      </c>
      <c r="C12" s="30" t="s">
        <v>76</v>
      </c>
      <c r="D12" s="39">
        <v>1170.0</v>
      </c>
      <c r="E12" s="45"/>
      <c r="F12" s="34">
        <f t="shared" si="1"/>
        <v>20881.75</v>
      </c>
      <c r="H12" s="41" t="s">
        <v>105</v>
      </c>
      <c r="I12" s="41">
        <v>4914.3</v>
      </c>
    </row>
    <row r="13">
      <c r="A13" s="24" t="s">
        <v>98</v>
      </c>
      <c r="B13" s="26" t="s">
        <v>109</v>
      </c>
      <c r="C13" s="30" t="str">
        <f>IFERROR(__xludf.DUMMYFUNCTION("CONCATENATE(REGEXEXTRACT(B13,""[A-Za-z]+""),MID(B13,8,FIND(CHAR(160),SUBSTITUTE(B13,"" "",CHAR(160),2)) - (7)),""2024"")"),"Mothers Day 2024")</f>
        <v>Mothers Day 2024</v>
      </c>
      <c r="D13" s="39">
        <v>676.28</v>
      </c>
      <c r="E13" s="39"/>
      <c r="F13" s="34">
        <f t="shared" si="1"/>
        <v>20205.47</v>
      </c>
      <c r="H13" s="44" t="s">
        <v>56</v>
      </c>
      <c r="I13" s="54">
        <f>I11-I12</f>
        <v>-340.85</v>
      </c>
    </row>
    <row r="14">
      <c r="A14" s="24" t="s">
        <v>98</v>
      </c>
      <c r="B14" s="26" t="s">
        <v>121</v>
      </c>
      <c r="C14" s="30" t="str">
        <f>IFERROR(__xludf.DUMMYFUNCTION("CONCATENATE(REGEXEXTRACT(B14,""[A-Za-z]+""),MID(B14,8,FIND(CHAR(160),SUBSTITUTE(B14,"" "",CHAR(160),2)) - (7)),""2024"")"),"Mothers Day 2024")</f>
        <v>Mothers Day 2024</v>
      </c>
      <c r="D14" s="39">
        <v>958.0</v>
      </c>
      <c r="E14" s="39"/>
      <c r="F14" s="34">
        <f t="shared" si="1"/>
        <v>19247.47</v>
      </c>
    </row>
    <row r="15">
      <c r="A15" s="24" t="s">
        <v>127</v>
      </c>
      <c r="B15" s="26" t="s">
        <v>129</v>
      </c>
      <c r="C15" s="30" t="str">
        <f>IFERROR(__xludf.DUMMYFUNCTION("CONCATENATE(REGEXEXTRACT(B15,""[A-Za-z]+""),MID(B15,8,FIND(CHAR(160),SUBSTITUTE(B15,"" "",CHAR(160),2)) - (7)),""2024"")"),"Mothers Day 2024")</f>
        <v>Mothers Day 2024</v>
      </c>
      <c r="D15" s="39">
        <v>43.6</v>
      </c>
      <c r="E15" s="39"/>
      <c r="F15" s="34">
        <f t="shared" si="1"/>
        <v>19203.87</v>
      </c>
    </row>
    <row r="16">
      <c r="A16" s="24" t="s">
        <v>127</v>
      </c>
      <c r="B16" s="26" t="s">
        <v>134</v>
      </c>
      <c r="C16" s="26" t="s">
        <v>136</v>
      </c>
      <c r="D16" s="39">
        <v>1463.0</v>
      </c>
      <c r="E16" s="39"/>
      <c r="F16" s="34">
        <f t="shared" si="1"/>
        <v>17740.87</v>
      </c>
      <c r="H16" s="41" t="s">
        <v>139</v>
      </c>
      <c r="I16" s="41">
        <v>6069.3</v>
      </c>
    </row>
    <row r="17">
      <c r="A17" s="24" t="s">
        <v>127</v>
      </c>
      <c r="B17" s="26" t="s">
        <v>59</v>
      </c>
      <c r="C17" s="26" t="s">
        <v>61</v>
      </c>
      <c r="D17" s="39">
        <v>50.0</v>
      </c>
      <c r="E17" s="39"/>
      <c r="F17" s="34">
        <f t="shared" si="1"/>
        <v>17690.87</v>
      </c>
      <c r="H17" s="41" t="s">
        <v>143</v>
      </c>
      <c r="I17" s="41">
        <v>1098.73</v>
      </c>
    </row>
    <row r="18">
      <c r="A18" s="24" t="s">
        <v>127</v>
      </c>
      <c r="B18" s="26" t="s">
        <v>145</v>
      </c>
      <c r="C18" s="30" t="s">
        <v>20</v>
      </c>
      <c r="D18" s="39"/>
      <c r="E18" s="39">
        <v>900.0</v>
      </c>
      <c r="F18" s="34">
        <f t="shared" si="1"/>
        <v>18590.87</v>
      </c>
      <c r="H18" s="44" t="s">
        <v>56</v>
      </c>
      <c r="I18" s="47">
        <f>I16-I17</f>
        <v>4970.57</v>
      </c>
    </row>
    <row r="19">
      <c r="A19" s="24" t="s">
        <v>127</v>
      </c>
      <c r="B19" s="26" t="s">
        <v>154</v>
      </c>
      <c r="C19" s="30" t="str">
        <f>IFERROR(__xludf.DUMMYFUNCTION("CONCATENATE(REGEXEXTRACT(B19,""[A-Za-z]+""),MID(B19,8,FIND(CHAR(160),SUBSTITUTE(B19,"" "",CHAR(160),2)) - (7)),""2024"")"),"Deposit - 2024")</f>
        <v>Deposit - 2024</v>
      </c>
      <c r="D19" s="39"/>
      <c r="E19" s="39">
        <v>5519.85</v>
      </c>
      <c r="F19" s="34">
        <f t="shared" si="1"/>
        <v>24110.72</v>
      </c>
    </row>
    <row r="20">
      <c r="A20" s="16">
        <v>45297.0</v>
      </c>
      <c r="B20" s="26" t="s">
        <v>22</v>
      </c>
      <c r="C20" s="25"/>
      <c r="D20" s="39"/>
      <c r="E20" s="39">
        <v>54.91</v>
      </c>
      <c r="F20" s="34">
        <f t="shared" si="1"/>
        <v>24165.63</v>
      </c>
    </row>
    <row r="21">
      <c r="A21" s="24" t="s">
        <v>166</v>
      </c>
      <c r="B21" s="26" t="s">
        <v>167</v>
      </c>
      <c r="C21" s="25"/>
      <c r="D21" s="39">
        <v>150.0</v>
      </c>
      <c r="E21" s="39"/>
      <c r="F21" s="34">
        <f t="shared" si="1"/>
        <v>24015.63</v>
      </c>
      <c r="H21" s="41" t="s">
        <v>176</v>
      </c>
      <c r="I21" s="41">
        <v>5615.0</v>
      </c>
    </row>
    <row r="22">
      <c r="A22" s="16">
        <v>45298.0</v>
      </c>
      <c r="B22" s="26" t="s">
        <v>22</v>
      </c>
      <c r="C22" s="25"/>
      <c r="D22" s="39"/>
      <c r="E22" s="39">
        <v>56.49</v>
      </c>
      <c r="F22" s="34">
        <f t="shared" si="1"/>
        <v>24072.12</v>
      </c>
      <c r="H22" s="41" t="s">
        <v>181</v>
      </c>
    </row>
    <row r="23">
      <c r="A23" s="16">
        <v>45389.0</v>
      </c>
      <c r="B23" s="32" t="s">
        <v>182</v>
      </c>
      <c r="C23" s="30" t="s">
        <v>185</v>
      </c>
      <c r="D23" s="39">
        <v>2190.0</v>
      </c>
      <c r="F23" s="34">
        <f t="shared" si="1"/>
        <v>21882.12</v>
      </c>
    </row>
    <row r="24">
      <c r="A24" s="16">
        <v>45299.0</v>
      </c>
      <c r="B24" s="26" t="s">
        <v>22</v>
      </c>
      <c r="C24" s="25"/>
      <c r="D24" s="39"/>
      <c r="E24" s="39">
        <v>53.48</v>
      </c>
      <c r="F24" s="34">
        <f t="shared" si="1"/>
        <v>21935.6</v>
      </c>
    </row>
    <row r="25">
      <c r="A25" s="16">
        <v>45512.0</v>
      </c>
      <c r="B25" s="26" t="s">
        <v>197</v>
      </c>
      <c r="C25" s="25"/>
      <c r="D25" s="39">
        <v>2314.0</v>
      </c>
      <c r="E25" s="39"/>
      <c r="F25" s="34">
        <f t="shared" si="1"/>
        <v>19621.6</v>
      </c>
    </row>
    <row r="26">
      <c r="A26" s="16">
        <v>45512.0</v>
      </c>
      <c r="B26" s="26" t="s">
        <v>203</v>
      </c>
      <c r="C26" s="30" t="str">
        <f>IFERROR(__xludf.DUMMYFUNCTION("CONCATENATE(REGEXEXTRACT(B26,""[A-Za-z]+""),MID(B26,8,FIND(CHAR(160),SUBSTITUTE(B26,"" "",CHAR(160),2)) - (7)),""2024"")"),"Fathers Day 2024")</f>
        <v>Fathers Day 2024</v>
      </c>
      <c r="D26" s="39">
        <v>2274.5</v>
      </c>
      <c r="E26" s="39"/>
      <c r="F26" s="34">
        <f t="shared" si="1"/>
        <v>17347.1</v>
      </c>
    </row>
    <row r="27">
      <c r="A27" s="16">
        <v>45512.0</v>
      </c>
      <c r="B27" s="26" t="s">
        <v>219</v>
      </c>
      <c r="C27" s="30" t="str">
        <f>IFERROR(__xludf.DUMMYFUNCTION("CONCATENATE(REGEXEXTRACT(B27,""[A-Za-z]+""),MID(B27,8,FIND(CHAR(160),SUBSTITUTE(B27,"" "",CHAR(160),2)) - (7)),""2024"")"),"Fathers Day 2024")</f>
        <v>Fathers Day 2024</v>
      </c>
      <c r="D27" s="39">
        <v>1976.0</v>
      </c>
      <c r="E27" s="39"/>
      <c r="F27" s="34">
        <f t="shared" si="1"/>
        <v>15371.1</v>
      </c>
    </row>
    <row r="28">
      <c r="A28" s="37" t="s">
        <v>234</v>
      </c>
      <c r="B28" s="32" t="s">
        <v>236</v>
      </c>
      <c r="C28" s="30" t="str">
        <f>IFERROR(__xludf.DUMMYFUNCTION("CONCATENATE(REGEXEXTRACT(B28,""[A-Za-z]+""),MID(B28,8,FIND(CHAR(160),SUBSTITUTE(B28,"" "",CHAR(160),2)) - (7)),""2024"")"),"Fathers Day 2024")</f>
        <v>Fathers Day 2024</v>
      </c>
      <c r="D28" s="38">
        <v>248.6</v>
      </c>
      <c r="E28" s="32"/>
      <c r="F28" s="34">
        <f t="shared" si="1"/>
        <v>15122.5</v>
      </c>
    </row>
    <row r="29">
      <c r="A29" s="31">
        <v>45300.0</v>
      </c>
      <c r="B29" s="26" t="s">
        <v>22</v>
      </c>
      <c r="C29" s="32"/>
      <c r="D29" s="38"/>
      <c r="E29" s="29">
        <v>40.48</v>
      </c>
      <c r="F29" s="34">
        <f t="shared" si="1"/>
        <v>15162.98</v>
      </c>
    </row>
    <row r="30">
      <c r="A30" s="31">
        <v>45574.0</v>
      </c>
      <c r="B30" s="32" t="s">
        <v>260</v>
      </c>
      <c r="C30" s="32" t="s">
        <v>264</v>
      </c>
      <c r="D30" s="38">
        <v>3000.0</v>
      </c>
      <c r="E30" s="32"/>
      <c r="F30" s="34">
        <f t="shared" si="1"/>
        <v>12162.98</v>
      </c>
    </row>
    <row r="31">
      <c r="A31" s="37" t="s">
        <v>273</v>
      </c>
      <c r="B31" s="32" t="s">
        <v>278</v>
      </c>
      <c r="C31" s="28"/>
      <c r="D31" s="28"/>
      <c r="E31" s="29">
        <v>4914.3</v>
      </c>
      <c r="F31" s="34">
        <f t="shared" si="1"/>
        <v>17077.28</v>
      </c>
    </row>
    <row r="32">
      <c r="A32" s="24" t="s">
        <v>273</v>
      </c>
      <c r="B32" s="26" t="s">
        <v>167</v>
      </c>
      <c r="C32" s="30"/>
      <c r="D32" s="39">
        <v>162.94</v>
      </c>
      <c r="E32" s="39"/>
      <c r="F32" s="34">
        <f t="shared" si="1"/>
        <v>16914.34</v>
      </c>
    </row>
    <row r="33">
      <c r="A33" s="24" t="s">
        <v>273</v>
      </c>
      <c r="B33" s="32" t="s">
        <v>300</v>
      </c>
      <c r="C33" s="30" t="s">
        <v>302</v>
      </c>
      <c r="D33" s="39">
        <v>73.95</v>
      </c>
      <c r="E33" s="39"/>
      <c r="F33" s="34">
        <f t="shared" si="1"/>
        <v>16840.39</v>
      </c>
    </row>
    <row r="34">
      <c r="A34" s="24" t="s">
        <v>311</v>
      </c>
      <c r="B34" s="26" t="s">
        <v>312</v>
      </c>
      <c r="C34" s="30" t="s">
        <v>315</v>
      </c>
      <c r="D34" s="39">
        <v>259.08</v>
      </c>
      <c r="E34" s="39"/>
      <c r="F34" s="34">
        <f t="shared" si="1"/>
        <v>16581.31</v>
      </c>
    </row>
    <row r="35">
      <c r="A35" s="24" t="s">
        <v>311</v>
      </c>
      <c r="B35" s="26" t="s">
        <v>330</v>
      </c>
      <c r="C35" s="30" t="s">
        <v>315</v>
      </c>
      <c r="D35" s="39">
        <v>49.3</v>
      </c>
      <c r="E35" s="45"/>
      <c r="F35" s="34">
        <f t="shared" si="1"/>
        <v>16532.01</v>
      </c>
    </row>
    <row r="36">
      <c r="A36" s="24" t="s">
        <v>311</v>
      </c>
      <c r="B36" s="26" t="s">
        <v>338</v>
      </c>
      <c r="C36" s="30" t="s">
        <v>315</v>
      </c>
      <c r="D36" s="39">
        <v>52.93</v>
      </c>
      <c r="E36" s="45"/>
      <c r="F36" s="34">
        <f t="shared" si="1"/>
        <v>16479.08</v>
      </c>
    </row>
    <row r="37">
      <c r="A37" s="24" t="s">
        <v>311</v>
      </c>
      <c r="B37" s="26" t="s">
        <v>343</v>
      </c>
      <c r="C37" s="30" t="s">
        <v>315</v>
      </c>
      <c r="D37" s="39">
        <v>604.82</v>
      </c>
      <c r="E37" s="45"/>
      <c r="F37" s="34">
        <f t="shared" si="1"/>
        <v>15874.26</v>
      </c>
    </row>
    <row r="38">
      <c r="A38" s="24" t="s">
        <v>311</v>
      </c>
      <c r="B38" s="26" t="s">
        <v>348</v>
      </c>
      <c r="C38" s="30" t="s">
        <v>315</v>
      </c>
      <c r="D38" s="39">
        <v>78.54</v>
      </c>
      <c r="E38" s="45"/>
      <c r="F38" s="34">
        <f t="shared" si="1"/>
        <v>15795.72</v>
      </c>
    </row>
    <row r="39">
      <c r="A39" s="24" t="s">
        <v>311</v>
      </c>
      <c r="B39" s="26" t="s">
        <v>358</v>
      </c>
      <c r="C39" s="30" t="s">
        <v>315</v>
      </c>
      <c r="D39" s="39">
        <v>54.06</v>
      </c>
      <c r="E39" s="45"/>
      <c r="F39" s="34">
        <f t="shared" si="1"/>
        <v>15741.66</v>
      </c>
    </row>
    <row r="40">
      <c r="A40" s="16">
        <v>45301.0</v>
      </c>
      <c r="B40" s="26" t="s">
        <v>22</v>
      </c>
      <c r="C40" s="30"/>
      <c r="D40" s="39"/>
      <c r="E40" s="39">
        <v>36.83</v>
      </c>
      <c r="F40" s="34">
        <f t="shared" si="1"/>
        <v>15778.49</v>
      </c>
    </row>
    <row r="41">
      <c r="A41" s="24" t="s">
        <v>373</v>
      </c>
      <c r="B41" s="26" t="s">
        <v>374</v>
      </c>
      <c r="C41" s="30" t="s">
        <v>315</v>
      </c>
      <c r="D41" s="39"/>
      <c r="E41" s="39">
        <v>1200.0</v>
      </c>
      <c r="F41" s="34">
        <f t="shared" si="1"/>
        <v>16978.49</v>
      </c>
    </row>
    <row r="42">
      <c r="A42" s="16">
        <v>45302.0</v>
      </c>
      <c r="B42" s="26" t="s">
        <v>22</v>
      </c>
      <c r="C42" s="30"/>
      <c r="D42" s="39"/>
      <c r="E42" s="39">
        <v>39.13</v>
      </c>
      <c r="F42" s="34">
        <f t="shared" si="1"/>
        <v>17017.62</v>
      </c>
    </row>
    <row r="43">
      <c r="A43" s="24" t="s">
        <v>378</v>
      </c>
      <c r="B43" s="26" t="s">
        <v>381</v>
      </c>
      <c r="C43" s="30"/>
      <c r="D43" s="39"/>
      <c r="E43" s="39">
        <v>4869.3</v>
      </c>
      <c r="F43" s="34">
        <f t="shared" si="1"/>
        <v>21886.92</v>
      </c>
    </row>
    <row r="44">
      <c r="A44" s="24" t="s">
        <v>384</v>
      </c>
      <c r="B44" s="26" t="s">
        <v>385</v>
      </c>
      <c r="C44" s="30" t="s">
        <v>386</v>
      </c>
      <c r="D44" s="39">
        <v>450.0</v>
      </c>
      <c r="E44" s="39"/>
      <c r="F44" s="34">
        <f t="shared" si="1"/>
        <v>21436.92</v>
      </c>
    </row>
    <row r="45">
      <c r="A45" s="16">
        <v>45303.0</v>
      </c>
      <c r="B45" s="26" t="s">
        <v>22</v>
      </c>
      <c r="C45" s="30"/>
      <c r="D45" s="51"/>
      <c r="E45" s="39">
        <v>43.11</v>
      </c>
      <c r="F45" s="34">
        <f t="shared" si="1"/>
        <v>21480.03</v>
      </c>
    </row>
    <row r="46">
      <c r="A46" s="16">
        <v>45547.0</v>
      </c>
      <c r="B46" s="26" t="s">
        <v>388</v>
      </c>
      <c r="C46" s="30" t="s">
        <v>389</v>
      </c>
      <c r="D46" s="51">
        <v>2048.15</v>
      </c>
      <c r="E46" s="39"/>
      <c r="F46" s="34">
        <f t="shared" si="1"/>
        <v>19431.88</v>
      </c>
    </row>
    <row r="47">
      <c r="A47" s="16">
        <v>45547.0</v>
      </c>
      <c r="B47" s="26" t="s">
        <v>390</v>
      </c>
      <c r="C47" s="30" t="s">
        <v>391</v>
      </c>
      <c r="D47" s="51">
        <v>41.5</v>
      </c>
      <c r="E47" s="45"/>
      <c r="F47" s="34">
        <f t="shared" si="1"/>
        <v>19390.38</v>
      </c>
    </row>
    <row r="48">
      <c r="A48" s="16">
        <v>45547.0</v>
      </c>
      <c r="B48" s="26" t="s">
        <v>390</v>
      </c>
      <c r="C48" s="30" t="s">
        <v>391</v>
      </c>
      <c r="D48" s="39">
        <v>265.93</v>
      </c>
      <c r="E48" s="39"/>
      <c r="F48" s="34">
        <f t="shared" si="1"/>
        <v>19124.45</v>
      </c>
    </row>
    <row r="49">
      <c r="A49" s="24" t="s">
        <v>393</v>
      </c>
      <c r="B49" s="26" t="s">
        <v>394</v>
      </c>
      <c r="C49" s="30" t="s">
        <v>44</v>
      </c>
      <c r="D49" s="45"/>
      <c r="E49" s="39">
        <v>5615.0</v>
      </c>
      <c r="F49" s="34">
        <f t="shared" si="1"/>
        <v>24739.45</v>
      </c>
    </row>
    <row r="50">
      <c r="A50" s="16"/>
      <c r="B50" s="26"/>
      <c r="C50" s="30"/>
      <c r="D50" s="39"/>
      <c r="E50" s="39"/>
      <c r="F50" s="34"/>
    </row>
    <row r="51">
      <c r="A51" s="62"/>
      <c r="B51" s="26"/>
      <c r="C51" s="30"/>
      <c r="D51" s="45"/>
      <c r="E51" s="39"/>
      <c r="F51" s="34"/>
    </row>
    <row r="52">
      <c r="A52" s="62"/>
      <c r="B52" s="26"/>
      <c r="C52" s="30"/>
      <c r="D52" s="20"/>
      <c r="E52" s="63"/>
      <c r="F52" s="34"/>
    </row>
    <row r="53">
      <c r="A53" s="24"/>
      <c r="B53" s="26"/>
      <c r="C53" s="30"/>
      <c r="D53" s="20"/>
      <c r="E53" s="63"/>
      <c r="F53" s="34"/>
    </row>
    <row r="54">
      <c r="A54" s="24"/>
      <c r="B54" s="26"/>
      <c r="C54" s="30"/>
      <c r="D54" s="19"/>
      <c r="E54" s="63"/>
      <c r="F54" s="34"/>
    </row>
    <row r="55">
      <c r="A55" s="64"/>
      <c r="B55" s="26"/>
      <c r="C55" s="30"/>
      <c r="D55" s="57"/>
      <c r="E55" s="53"/>
      <c r="F55" s="34"/>
    </row>
    <row r="56">
      <c r="A56" s="64"/>
      <c r="B56" s="26"/>
      <c r="C56" s="30"/>
      <c r="D56" s="57"/>
      <c r="E56" s="63"/>
      <c r="F56" s="34"/>
    </row>
    <row r="57">
      <c r="A57" s="64"/>
      <c r="B57" s="26"/>
      <c r="C57" s="30"/>
      <c r="D57" s="53"/>
      <c r="E57" s="63"/>
      <c r="F57" s="34"/>
    </row>
    <row r="58">
      <c r="A58" s="64"/>
      <c r="B58" s="26"/>
      <c r="C58" s="30"/>
      <c r="D58" s="53"/>
      <c r="E58" s="63"/>
      <c r="F58" s="34"/>
    </row>
    <row r="59">
      <c r="A59" s="64"/>
      <c r="B59" s="26"/>
      <c r="C59" s="30"/>
      <c r="D59" s="69"/>
      <c r="E59" s="63"/>
      <c r="F59" s="34"/>
    </row>
    <row r="60">
      <c r="A60" s="52"/>
      <c r="B60" s="26"/>
      <c r="C60" s="25"/>
      <c r="D60" s="69"/>
      <c r="E60" s="63"/>
      <c r="F60" s="34"/>
    </row>
    <row r="61">
      <c r="A61" s="52"/>
      <c r="B61" s="26"/>
      <c r="C61" s="30"/>
      <c r="D61" s="53"/>
      <c r="E61" s="69"/>
      <c r="F61" s="34"/>
    </row>
    <row r="62">
      <c r="A62" s="64"/>
      <c r="B62" s="26"/>
      <c r="C62" s="30"/>
      <c r="D62" s="53"/>
      <c r="E62" s="53"/>
      <c r="F62" s="34"/>
    </row>
    <row r="63">
      <c r="A63" s="52"/>
      <c r="B63" s="26"/>
      <c r="C63" s="25"/>
      <c r="D63" s="69"/>
      <c r="E63" s="53"/>
      <c r="F63" s="34"/>
    </row>
    <row r="64">
      <c r="A64" s="52"/>
      <c r="B64" s="26"/>
      <c r="C64" s="25"/>
      <c r="D64" s="69"/>
      <c r="E64" s="53"/>
      <c r="F64" s="34"/>
    </row>
    <row r="65">
      <c r="A65" s="64"/>
      <c r="B65" s="26"/>
      <c r="C65" s="30"/>
      <c r="D65" s="53"/>
      <c r="E65" s="53"/>
      <c r="F65" s="34"/>
    </row>
    <row r="66">
      <c r="A66" s="64"/>
      <c r="B66" s="26"/>
      <c r="C66" s="30"/>
      <c r="D66" s="53"/>
      <c r="E66" s="53"/>
      <c r="F66" s="34"/>
    </row>
    <row r="67">
      <c r="A67" s="64"/>
      <c r="B67" s="26"/>
      <c r="C67" s="30"/>
      <c r="D67" s="53"/>
      <c r="E67" s="53"/>
      <c r="F67" s="34"/>
    </row>
    <row r="68">
      <c r="A68" s="64"/>
      <c r="B68" s="26"/>
      <c r="C68" s="25"/>
      <c r="D68" s="53"/>
      <c r="E68" s="53"/>
      <c r="F68" s="34"/>
    </row>
    <row r="69">
      <c r="A69" s="64"/>
      <c r="B69" s="26"/>
      <c r="C69" s="30"/>
      <c r="D69" s="69"/>
      <c r="E69" s="53"/>
      <c r="F69" s="34"/>
    </row>
    <row r="70">
      <c r="A70" s="64"/>
      <c r="B70" s="26"/>
      <c r="C70" s="30"/>
      <c r="D70" s="53"/>
      <c r="E70" s="53"/>
      <c r="F70" s="34"/>
    </row>
    <row r="71">
      <c r="A71" s="64"/>
      <c r="B71" s="26"/>
      <c r="C71" s="30"/>
      <c r="D71" s="53"/>
      <c r="E71" s="53"/>
      <c r="F71" s="34"/>
    </row>
    <row r="72">
      <c r="A72" s="64"/>
      <c r="B72" s="26"/>
      <c r="C72" s="30"/>
      <c r="D72" s="53"/>
      <c r="E72" s="53"/>
      <c r="F72" s="34"/>
    </row>
    <row r="73">
      <c r="A73" s="52"/>
      <c r="B73" s="26"/>
      <c r="C73" s="25"/>
      <c r="D73" s="69"/>
      <c r="E73" s="53"/>
      <c r="F73" s="34"/>
    </row>
    <row r="74">
      <c r="A74" s="52"/>
      <c r="B74" s="26"/>
      <c r="C74" s="30"/>
      <c r="D74" s="69"/>
      <c r="E74" s="53"/>
      <c r="F74" s="34"/>
    </row>
    <row r="75">
      <c r="A75" s="52"/>
      <c r="B75" s="26"/>
      <c r="C75" s="30"/>
      <c r="D75" s="69"/>
      <c r="E75" s="53"/>
      <c r="F75" s="34"/>
    </row>
    <row r="76">
      <c r="A76" s="52"/>
      <c r="B76" s="26"/>
      <c r="C76" s="30"/>
      <c r="D76" s="69"/>
      <c r="E76" s="53"/>
      <c r="F76" s="34"/>
    </row>
    <row r="77">
      <c r="A77" s="52"/>
      <c r="B77" s="26"/>
      <c r="C77" s="30"/>
      <c r="D77" s="69"/>
      <c r="E77" s="53"/>
      <c r="F77" s="34"/>
    </row>
    <row r="78">
      <c r="A78" s="52"/>
      <c r="B78" s="26"/>
      <c r="C78" s="30"/>
      <c r="D78" s="69"/>
      <c r="E78" s="53"/>
      <c r="F78" s="34"/>
    </row>
    <row r="79">
      <c r="A79" s="64"/>
      <c r="B79" s="26"/>
      <c r="C79" s="30"/>
      <c r="D79" s="69"/>
      <c r="E79" s="53"/>
      <c r="F79" s="34"/>
    </row>
    <row r="80">
      <c r="A80" s="52"/>
      <c r="B80" s="26"/>
      <c r="C80" s="25"/>
      <c r="D80" s="69"/>
      <c r="E80" s="53"/>
      <c r="F80" s="34"/>
    </row>
    <row r="81">
      <c r="A81" s="52"/>
      <c r="B81" s="26"/>
      <c r="C81" s="30"/>
      <c r="D81" s="53"/>
      <c r="E81" s="53"/>
      <c r="F81" s="34"/>
    </row>
    <row r="82">
      <c r="A82" s="52"/>
      <c r="B82" s="26"/>
      <c r="C82" s="30"/>
      <c r="D82" s="69"/>
      <c r="E82" s="53"/>
      <c r="F82" s="34"/>
    </row>
    <row r="83">
      <c r="A83" s="52"/>
      <c r="B83" s="26"/>
      <c r="C83" s="30"/>
      <c r="D83" s="69"/>
      <c r="E83" s="53"/>
      <c r="F83" s="34"/>
    </row>
    <row r="84">
      <c r="A84" s="64"/>
      <c r="B84" s="26"/>
      <c r="C84" s="30"/>
      <c r="D84" s="69"/>
      <c r="E84" s="53"/>
      <c r="F84" s="34"/>
    </row>
    <row r="85">
      <c r="A85" s="52"/>
      <c r="B85" s="26"/>
      <c r="C85" s="25"/>
      <c r="D85" s="69"/>
      <c r="E85" s="53"/>
      <c r="F85" s="34"/>
    </row>
    <row r="86">
      <c r="A86" s="52"/>
      <c r="B86" s="26"/>
      <c r="C86" s="30"/>
      <c r="D86" s="53"/>
      <c r="E86" s="53"/>
      <c r="F86" s="34"/>
    </row>
    <row r="87">
      <c r="A87" s="52"/>
      <c r="B87" s="26"/>
      <c r="C87" s="30"/>
      <c r="D87" s="53"/>
      <c r="E87" s="53"/>
      <c r="F87" s="34"/>
    </row>
    <row r="88">
      <c r="A88" s="52"/>
      <c r="B88" s="26"/>
      <c r="C88" s="25"/>
      <c r="D88" s="53"/>
      <c r="E88" s="53"/>
      <c r="F88" s="34"/>
    </row>
    <row r="89">
      <c r="A89" s="52"/>
      <c r="B89" s="26"/>
      <c r="C89" s="30"/>
      <c r="D89" s="53"/>
      <c r="E89" s="53"/>
      <c r="F89" s="34"/>
    </row>
    <row r="90">
      <c r="A90" s="52"/>
      <c r="B90" s="26"/>
      <c r="C90" s="90"/>
      <c r="D90" s="53"/>
      <c r="E90" s="53"/>
      <c r="F90" s="34"/>
    </row>
    <row r="91">
      <c r="A91" s="52"/>
      <c r="B91" s="26"/>
      <c r="C91" s="30"/>
      <c r="D91" s="53"/>
      <c r="E91" s="53"/>
      <c r="F91" s="34"/>
    </row>
    <row r="92">
      <c r="A92" s="52"/>
      <c r="B92" s="26"/>
      <c r="C92" s="30"/>
      <c r="D92" s="53"/>
      <c r="E92" s="53"/>
      <c r="F92" s="34"/>
    </row>
    <row r="93">
      <c r="A93" s="52"/>
      <c r="B93" s="26"/>
      <c r="C93" s="30"/>
      <c r="D93" s="53"/>
      <c r="E93" s="53"/>
      <c r="F93" s="34"/>
    </row>
    <row r="94">
      <c r="A94" s="52"/>
      <c r="B94" s="26"/>
      <c r="C94" s="30"/>
      <c r="D94" s="53"/>
      <c r="E94" s="53"/>
      <c r="F94" s="34"/>
    </row>
    <row r="95">
      <c r="A95" s="52"/>
      <c r="B95" s="26"/>
      <c r="C95" s="30"/>
      <c r="D95" s="53"/>
      <c r="E95" s="53"/>
      <c r="F95" s="34"/>
    </row>
    <row r="96">
      <c r="A96" s="52"/>
      <c r="B96" s="26"/>
      <c r="C96" s="90"/>
      <c r="D96" s="53"/>
      <c r="E96" s="53"/>
      <c r="F96" s="34"/>
    </row>
    <row r="97">
      <c r="A97" s="52"/>
      <c r="B97" s="26"/>
      <c r="C97" s="30"/>
      <c r="D97" s="53"/>
      <c r="E97" s="53"/>
      <c r="F97" s="34"/>
    </row>
    <row r="98">
      <c r="A98" s="52"/>
      <c r="B98" s="26"/>
      <c r="C98" s="90"/>
      <c r="D98" s="53"/>
      <c r="E98" s="53"/>
      <c r="F98" s="34"/>
    </row>
    <row r="99">
      <c r="A99" s="52"/>
      <c r="B99" s="26"/>
      <c r="C99" s="90"/>
      <c r="D99" s="53"/>
      <c r="E99" s="53"/>
      <c r="F99" s="34"/>
    </row>
    <row r="100">
      <c r="A100" s="52"/>
      <c r="B100" s="26"/>
      <c r="C100" s="90"/>
      <c r="D100" s="53"/>
      <c r="E100" s="53"/>
      <c r="F100" s="34"/>
    </row>
    <row r="101">
      <c r="A101" s="52"/>
      <c r="B101" s="26"/>
      <c r="C101" s="90"/>
      <c r="D101" s="53"/>
      <c r="E101" s="53"/>
      <c r="F101" s="34"/>
    </row>
    <row r="102">
      <c r="A102" s="52"/>
      <c r="B102" s="26"/>
      <c r="C102" s="90"/>
      <c r="D102" s="53"/>
      <c r="E102" s="53"/>
      <c r="F102" s="34"/>
    </row>
    <row r="103">
      <c r="A103" s="52"/>
      <c r="B103" s="26"/>
      <c r="C103" s="90"/>
      <c r="D103" s="53"/>
      <c r="E103" s="53"/>
      <c r="F103" s="34"/>
    </row>
    <row r="104">
      <c r="A104" s="52"/>
      <c r="B104" s="26"/>
      <c r="C104" s="90"/>
      <c r="D104" s="53"/>
      <c r="E104" s="53"/>
      <c r="F104" s="34"/>
    </row>
    <row r="105">
      <c r="A105" s="52"/>
      <c r="B105" s="26"/>
      <c r="C105" s="90"/>
      <c r="D105" s="53"/>
      <c r="E105" s="53"/>
      <c r="F105" s="34"/>
    </row>
    <row r="106">
      <c r="A106" s="52"/>
      <c r="B106" s="26"/>
      <c r="C106" s="90"/>
      <c r="D106" s="53"/>
      <c r="E106" s="53"/>
      <c r="F106" s="34"/>
    </row>
    <row r="107">
      <c r="A107" s="52"/>
      <c r="B107" s="26"/>
      <c r="C107" s="90"/>
      <c r="D107" s="53"/>
      <c r="E107" s="53"/>
      <c r="F107" s="34"/>
    </row>
    <row r="108">
      <c r="A108" s="52"/>
      <c r="B108" s="26"/>
      <c r="C108" s="90"/>
      <c r="D108" s="53"/>
      <c r="E108" s="53"/>
      <c r="F108" s="34"/>
    </row>
    <row r="109">
      <c r="A109" s="52"/>
      <c r="B109" s="26"/>
      <c r="C109" s="90"/>
      <c r="D109" s="53"/>
      <c r="E109" s="53"/>
      <c r="F109" s="34"/>
    </row>
  </sheetData>
  <mergeCells count="3">
    <mergeCell ref="A1:F1"/>
    <mergeCell ref="A2:F2"/>
    <mergeCell ref="A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41.75"/>
    <col customWidth="1" min="3" max="3" width="20.25"/>
    <col customWidth="1" min="8" max="8" width="25.25"/>
    <col customWidth="1" min="13" max="13" width="40.25"/>
    <col customWidth="1" min="14" max="14" width="18.25"/>
  </cols>
  <sheetData>
    <row r="1">
      <c r="A1" s="2">
        <v>2025.0</v>
      </c>
      <c r="L1" s="2">
        <v>2025.0</v>
      </c>
    </row>
    <row r="2">
      <c r="A2" s="3" t="s">
        <v>1</v>
      </c>
      <c r="B2" s="4"/>
      <c r="C2" s="4"/>
      <c r="D2" s="4"/>
      <c r="E2" s="4"/>
      <c r="F2" s="4"/>
      <c r="L2" s="3" t="s">
        <v>1</v>
      </c>
      <c r="M2" s="4"/>
      <c r="N2" s="4"/>
      <c r="O2" s="4"/>
      <c r="P2" s="4"/>
      <c r="Q2" s="4"/>
    </row>
    <row r="3">
      <c r="A3" s="5" t="s">
        <v>4</v>
      </c>
      <c r="B3" s="6"/>
      <c r="C3" s="6"/>
      <c r="D3" s="6"/>
      <c r="E3" s="6"/>
      <c r="F3" s="6"/>
      <c r="L3" s="5" t="s">
        <v>6</v>
      </c>
      <c r="M3" s="6"/>
      <c r="N3" s="6"/>
      <c r="O3" s="6"/>
      <c r="P3" s="6"/>
      <c r="Q3" s="6"/>
    </row>
    <row r="4">
      <c r="A4" s="8" t="s">
        <v>5</v>
      </c>
      <c r="B4" s="10" t="s">
        <v>7</v>
      </c>
      <c r="C4" s="11" t="s">
        <v>11</v>
      </c>
      <c r="D4" s="11" t="s">
        <v>9</v>
      </c>
      <c r="E4" s="14" t="s">
        <v>10</v>
      </c>
      <c r="F4" s="15" t="s">
        <v>12</v>
      </c>
      <c r="L4" s="8" t="s">
        <v>5</v>
      </c>
      <c r="M4" s="10" t="s">
        <v>7</v>
      </c>
      <c r="N4" s="11" t="s">
        <v>11</v>
      </c>
      <c r="O4" s="11" t="s">
        <v>9</v>
      </c>
      <c r="P4" s="14" t="s">
        <v>10</v>
      </c>
      <c r="Q4" s="15" t="s">
        <v>12</v>
      </c>
    </row>
    <row r="5">
      <c r="A5" s="21">
        <v>45658.0</v>
      </c>
      <c r="B5" s="23" t="s">
        <v>13</v>
      </c>
      <c r="C5" s="25"/>
      <c r="D5" s="19"/>
      <c r="E5" s="20">
        <v>24739.45</v>
      </c>
      <c r="F5" s="20">
        <v>24739.45</v>
      </c>
      <c r="L5" s="16">
        <v>45658.0</v>
      </c>
      <c r="M5" s="17" t="s">
        <v>13</v>
      </c>
      <c r="N5" s="28"/>
      <c r="O5" s="28"/>
      <c r="P5" s="29">
        <v>2436.9</v>
      </c>
      <c r="Q5" s="29">
        <v>2436.9</v>
      </c>
    </row>
    <row r="6">
      <c r="A6" s="31">
        <v>45658.0</v>
      </c>
      <c r="B6" s="32" t="s">
        <v>22</v>
      </c>
      <c r="C6" s="28"/>
      <c r="D6" s="28"/>
      <c r="E6" s="29">
        <v>53.46</v>
      </c>
      <c r="F6" s="36">
        <f t="shared" ref="F6:F21" si="1">F5+E6-D6</f>
        <v>24792.91</v>
      </c>
      <c r="L6" s="37" t="s">
        <v>28</v>
      </c>
      <c r="M6" s="32" t="s">
        <v>29</v>
      </c>
      <c r="N6" s="32" t="s">
        <v>30</v>
      </c>
      <c r="O6" s="28"/>
      <c r="P6" s="38">
        <v>9000.0</v>
      </c>
      <c r="Q6" s="36">
        <f t="shared" ref="Q6:Q92" si="2">Q5+P6-O6</f>
        <v>11436.9</v>
      </c>
    </row>
    <row r="7">
      <c r="A7" s="31">
        <v>45659.0</v>
      </c>
      <c r="B7" s="32" t="s">
        <v>22</v>
      </c>
      <c r="C7" s="28"/>
      <c r="D7" s="28"/>
      <c r="E7" s="29">
        <v>60.01</v>
      </c>
      <c r="F7" s="36">
        <f t="shared" si="1"/>
        <v>24852.92</v>
      </c>
      <c r="H7" s="41" t="s">
        <v>37</v>
      </c>
      <c r="I7" s="41">
        <v>5615.0</v>
      </c>
      <c r="L7" s="37" t="s">
        <v>38</v>
      </c>
      <c r="M7" s="32" t="s">
        <v>40</v>
      </c>
      <c r="N7" s="28"/>
      <c r="O7" s="28"/>
      <c r="P7" s="29">
        <v>1622.99</v>
      </c>
      <c r="Q7" s="36">
        <f t="shared" si="2"/>
        <v>13059.89</v>
      </c>
    </row>
    <row r="8">
      <c r="A8" s="37" t="s">
        <v>28</v>
      </c>
      <c r="B8" s="32" t="s">
        <v>43</v>
      </c>
      <c r="C8" s="32" t="s">
        <v>44</v>
      </c>
      <c r="D8" s="38">
        <v>5800.0</v>
      </c>
      <c r="E8" s="28"/>
      <c r="F8" s="36">
        <f t="shared" si="1"/>
        <v>19052.92</v>
      </c>
      <c r="H8" s="41" t="s">
        <v>45</v>
      </c>
      <c r="I8" s="41">
        <v>5800.0</v>
      </c>
      <c r="L8" s="31">
        <v>45720.0</v>
      </c>
      <c r="M8" s="32" t="s">
        <v>46</v>
      </c>
      <c r="N8" s="32" t="s">
        <v>48</v>
      </c>
      <c r="O8" s="29">
        <v>410.9</v>
      </c>
      <c r="P8" s="28"/>
      <c r="Q8" s="36">
        <f t="shared" si="2"/>
        <v>12648.99</v>
      </c>
    </row>
    <row r="9">
      <c r="A9" s="37" t="s">
        <v>28</v>
      </c>
      <c r="B9" s="32" t="s">
        <v>51</v>
      </c>
      <c r="C9" s="32" t="s">
        <v>52</v>
      </c>
      <c r="D9" s="38">
        <v>9000.0</v>
      </c>
      <c r="E9" s="28"/>
      <c r="F9" s="36">
        <f t="shared" si="1"/>
        <v>10052.92</v>
      </c>
      <c r="H9" s="44" t="s">
        <v>56</v>
      </c>
      <c r="I9" s="46">
        <f>I7-I8</f>
        <v>-185</v>
      </c>
      <c r="L9" s="31">
        <v>45873.0</v>
      </c>
      <c r="M9" s="32" t="s">
        <v>60</v>
      </c>
      <c r="N9" s="32" t="s">
        <v>48</v>
      </c>
      <c r="O9" s="29">
        <v>66.0</v>
      </c>
      <c r="P9" s="28"/>
      <c r="Q9" s="36">
        <f t="shared" si="2"/>
        <v>12582.99</v>
      </c>
    </row>
    <row r="10">
      <c r="A10" s="31">
        <v>45660.0</v>
      </c>
      <c r="B10" s="32" t="s">
        <v>22</v>
      </c>
      <c r="C10" s="28"/>
      <c r="D10" s="28"/>
      <c r="E10" s="29">
        <v>45.25</v>
      </c>
      <c r="F10" s="36">
        <f t="shared" si="1"/>
        <v>10098.17</v>
      </c>
      <c r="L10" s="31">
        <v>45934.0</v>
      </c>
      <c r="M10" s="32" t="s">
        <v>66</v>
      </c>
      <c r="N10" s="32" t="s">
        <v>48</v>
      </c>
      <c r="O10" s="29">
        <v>38.53</v>
      </c>
      <c r="P10" s="28"/>
      <c r="Q10" s="36">
        <f t="shared" si="2"/>
        <v>12544.46</v>
      </c>
    </row>
    <row r="11">
      <c r="A11" s="31">
        <v>45661.0</v>
      </c>
      <c r="B11" s="32" t="s">
        <v>22</v>
      </c>
      <c r="C11" s="28"/>
      <c r="D11" s="28"/>
      <c r="E11" s="29">
        <v>22.3</v>
      </c>
      <c r="F11" s="36">
        <f t="shared" si="1"/>
        <v>10120.47</v>
      </c>
      <c r="L11" s="31">
        <v>45965.0</v>
      </c>
      <c r="M11" s="32" t="s">
        <v>71</v>
      </c>
      <c r="N11" s="32" t="s">
        <v>73</v>
      </c>
      <c r="O11" s="38">
        <v>100.0</v>
      </c>
      <c r="P11" s="28"/>
      <c r="Q11" s="36">
        <f t="shared" si="2"/>
        <v>12444.46</v>
      </c>
    </row>
    <row r="12">
      <c r="A12" s="31">
        <v>45662.0</v>
      </c>
      <c r="B12" s="32" t="s">
        <v>22</v>
      </c>
      <c r="C12" s="28"/>
      <c r="D12" s="28"/>
      <c r="E12" s="29">
        <v>21.63</v>
      </c>
      <c r="F12" s="36">
        <f t="shared" si="1"/>
        <v>10142.1</v>
      </c>
      <c r="H12" s="41" t="s">
        <v>77</v>
      </c>
      <c r="I12" s="41">
        <v>4881.95</v>
      </c>
      <c r="L12" s="31">
        <v>45965.0</v>
      </c>
      <c r="M12" s="32" t="s">
        <v>59</v>
      </c>
      <c r="N12" s="28"/>
      <c r="O12" s="38">
        <v>400.0</v>
      </c>
      <c r="P12" s="28"/>
      <c r="Q12" s="36">
        <f t="shared" si="2"/>
        <v>12044.46</v>
      </c>
    </row>
    <row r="13">
      <c r="A13" s="31">
        <v>45905.0</v>
      </c>
      <c r="B13" s="32" t="s">
        <v>80</v>
      </c>
      <c r="C13" s="32" t="s">
        <v>82</v>
      </c>
      <c r="E13" s="38">
        <v>4024.0</v>
      </c>
      <c r="F13" s="36">
        <f t="shared" si="1"/>
        <v>14166.1</v>
      </c>
      <c r="H13" s="41" t="s">
        <v>84</v>
      </c>
      <c r="I13" s="41">
        <v>1420.49</v>
      </c>
      <c r="L13" s="31">
        <v>45693.0</v>
      </c>
      <c r="M13" s="32" t="s">
        <v>86</v>
      </c>
      <c r="N13" s="32" t="s">
        <v>87</v>
      </c>
      <c r="O13" s="29">
        <v>155.55</v>
      </c>
      <c r="P13" s="28"/>
      <c r="Q13" s="36">
        <f t="shared" si="2"/>
        <v>11888.91</v>
      </c>
    </row>
    <row r="14">
      <c r="A14" s="31">
        <v>45663.0</v>
      </c>
      <c r="B14" s="32" t="s">
        <v>22</v>
      </c>
      <c r="C14" s="28"/>
      <c r="D14" s="28"/>
      <c r="E14" s="29">
        <v>27.92</v>
      </c>
      <c r="F14" s="36">
        <f t="shared" si="1"/>
        <v>14194.02</v>
      </c>
      <c r="H14" s="44" t="s">
        <v>56</v>
      </c>
      <c r="I14" s="46">
        <f>I12-I13</f>
        <v>3461.46</v>
      </c>
      <c r="L14" s="31">
        <v>45693.0</v>
      </c>
      <c r="M14" s="32" t="s">
        <v>86</v>
      </c>
      <c r="N14" s="32" t="s">
        <v>87</v>
      </c>
      <c r="O14" s="38">
        <v>69.0</v>
      </c>
      <c r="P14" s="28"/>
      <c r="Q14" s="36">
        <f t="shared" si="2"/>
        <v>11819.91</v>
      </c>
    </row>
    <row r="15">
      <c r="A15" s="31">
        <v>45664.0</v>
      </c>
      <c r="B15" s="32" t="s">
        <v>22</v>
      </c>
      <c r="C15" s="28"/>
      <c r="D15" s="28"/>
      <c r="E15" s="29">
        <v>27.42</v>
      </c>
      <c r="F15" s="36">
        <f t="shared" si="1"/>
        <v>14221.44</v>
      </c>
      <c r="L15" s="31">
        <v>45693.0</v>
      </c>
      <c r="M15" s="32" t="s">
        <v>86</v>
      </c>
      <c r="N15" s="32" t="s">
        <v>87</v>
      </c>
      <c r="O15" s="38">
        <v>400.0</v>
      </c>
      <c r="P15" s="28"/>
      <c r="Q15" s="36">
        <f t="shared" si="2"/>
        <v>11419.91</v>
      </c>
    </row>
    <row r="16">
      <c r="A16" s="31">
        <v>45665.0</v>
      </c>
      <c r="B16" s="32" t="s">
        <v>22</v>
      </c>
      <c r="C16" s="28"/>
      <c r="D16" s="28"/>
      <c r="E16" s="29">
        <v>28.38</v>
      </c>
      <c r="F16" s="36">
        <f t="shared" si="1"/>
        <v>14249.82</v>
      </c>
      <c r="L16" s="31">
        <v>45693.0</v>
      </c>
      <c r="M16" s="32" t="s">
        <v>86</v>
      </c>
      <c r="N16" s="32" t="s">
        <v>87</v>
      </c>
      <c r="O16" s="29">
        <v>345.93</v>
      </c>
      <c r="P16" s="28"/>
      <c r="Q16" s="36">
        <f t="shared" si="2"/>
        <v>11073.98</v>
      </c>
    </row>
    <row r="17">
      <c r="A17" s="31">
        <v>45666.0</v>
      </c>
      <c r="B17" s="32" t="s">
        <v>22</v>
      </c>
      <c r="C17" s="28"/>
      <c r="D17" s="28"/>
      <c r="E17" s="29">
        <v>26.59</v>
      </c>
      <c r="F17" s="36">
        <f t="shared" si="1"/>
        <v>14276.41</v>
      </c>
      <c r="H17" s="41" t="s">
        <v>36</v>
      </c>
      <c r="I17" s="41">
        <v>4024.0</v>
      </c>
      <c r="L17" s="31">
        <v>45693.0</v>
      </c>
      <c r="M17" s="32" t="s">
        <v>86</v>
      </c>
      <c r="N17" s="32" t="s">
        <v>87</v>
      </c>
      <c r="O17" s="38">
        <v>24.0</v>
      </c>
      <c r="P17" s="28"/>
      <c r="Q17" s="36">
        <f t="shared" si="2"/>
        <v>11049.98</v>
      </c>
    </row>
    <row r="18">
      <c r="A18" s="31">
        <v>45667.0</v>
      </c>
      <c r="B18" s="32" t="s">
        <v>22</v>
      </c>
      <c r="C18" s="28"/>
      <c r="D18" s="28"/>
      <c r="E18" s="29">
        <v>24.64</v>
      </c>
      <c r="F18" s="36">
        <f t="shared" si="1"/>
        <v>14301.05</v>
      </c>
      <c r="H18" s="41" t="s">
        <v>54</v>
      </c>
      <c r="I18" s="41">
        <v>3755.7</v>
      </c>
      <c r="L18" s="31">
        <v>45693.0</v>
      </c>
      <c r="M18" s="32" t="s">
        <v>86</v>
      </c>
      <c r="N18" s="32" t="s">
        <v>87</v>
      </c>
      <c r="O18" s="29">
        <v>18.0</v>
      </c>
      <c r="P18" s="28"/>
      <c r="Q18" s="36">
        <f t="shared" si="2"/>
        <v>11031.98</v>
      </c>
    </row>
    <row r="19">
      <c r="A19" s="31">
        <v>45668.0</v>
      </c>
      <c r="B19" s="32" t="s">
        <v>22</v>
      </c>
      <c r="C19" s="28"/>
      <c r="D19" s="28"/>
      <c r="E19" s="29">
        <v>25.51</v>
      </c>
      <c r="F19" s="36">
        <f t="shared" si="1"/>
        <v>14326.56</v>
      </c>
      <c r="H19" s="44" t="s">
        <v>56</v>
      </c>
      <c r="I19" s="46">
        <f>I17-I18</f>
        <v>268.3</v>
      </c>
      <c r="L19" s="31">
        <v>45721.0</v>
      </c>
      <c r="M19" s="32" t="s">
        <v>86</v>
      </c>
      <c r="N19" s="32" t="s">
        <v>87</v>
      </c>
      <c r="O19" s="38">
        <v>150.0</v>
      </c>
      <c r="P19" s="28"/>
      <c r="Q19" s="36">
        <f t="shared" si="2"/>
        <v>10881.98</v>
      </c>
    </row>
    <row r="20">
      <c r="A20" s="31">
        <v>45669.0</v>
      </c>
      <c r="B20" s="32" t="s">
        <v>22</v>
      </c>
      <c r="C20" s="28"/>
      <c r="D20" s="28"/>
      <c r="E20" s="29">
        <v>24.73</v>
      </c>
      <c r="F20" s="36">
        <f t="shared" si="1"/>
        <v>14351.29</v>
      </c>
      <c r="L20" s="31">
        <v>45752.0</v>
      </c>
      <c r="M20" s="32" t="s">
        <v>117</v>
      </c>
      <c r="N20" s="32" t="s">
        <v>87</v>
      </c>
      <c r="O20" s="28"/>
      <c r="P20" s="29">
        <v>1882.53</v>
      </c>
      <c r="Q20" s="36">
        <f t="shared" si="2"/>
        <v>12764.51</v>
      </c>
    </row>
    <row r="21">
      <c r="A21" s="55">
        <v>45973.0</v>
      </c>
      <c r="B21" s="32" t="s">
        <v>122</v>
      </c>
      <c r="C21" s="32" t="s">
        <v>123</v>
      </c>
      <c r="D21" s="38">
        <v>2000.0</v>
      </c>
      <c r="E21" s="28"/>
      <c r="F21" s="36">
        <f t="shared" si="1"/>
        <v>12351.29</v>
      </c>
      <c r="L21" s="31">
        <v>45782.0</v>
      </c>
      <c r="M21" s="32" t="s">
        <v>125</v>
      </c>
      <c r="N21" s="32" t="s">
        <v>87</v>
      </c>
      <c r="O21" s="28"/>
      <c r="P21" s="29">
        <v>9.84</v>
      </c>
      <c r="Q21" s="36">
        <f t="shared" si="2"/>
        <v>12774.35</v>
      </c>
    </row>
    <row r="22">
      <c r="A22" s="59"/>
      <c r="B22" s="28"/>
      <c r="C22" s="28"/>
      <c r="D22" s="28"/>
      <c r="E22" s="28"/>
      <c r="F22" s="28"/>
      <c r="H22" s="41" t="s">
        <v>96</v>
      </c>
      <c r="I22" s="41">
        <v>4476.2</v>
      </c>
      <c r="L22" s="31">
        <v>45813.0</v>
      </c>
      <c r="M22" s="32" t="s">
        <v>128</v>
      </c>
      <c r="N22" s="32"/>
      <c r="O22" s="28"/>
      <c r="P22" s="29">
        <v>910.2</v>
      </c>
      <c r="Q22" s="36">
        <f t="shared" si="2"/>
        <v>13684.55</v>
      </c>
    </row>
    <row r="23">
      <c r="A23" s="59"/>
      <c r="B23" s="28"/>
      <c r="C23" s="28"/>
      <c r="D23" s="28"/>
      <c r="E23" s="28"/>
      <c r="F23" s="28"/>
      <c r="H23" s="41" t="s">
        <v>105</v>
      </c>
      <c r="I23" s="41">
        <v>3545.44</v>
      </c>
      <c r="L23" s="31">
        <v>45874.0</v>
      </c>
      <c r="M23" s="32" t="s">
        <v>125</v>
      </c>
      <c r="N23" s="32" t="s">
        <v>87</v>
      </c>
      <c r="O23" s="28"/>
      <c r="P23" s="29">
        <v>75.78</v>
      </c>
      <c r="Q23" s="36">
        <f t="shared" si="2"/>
        <v>13760.33</v>
      </c>
    </row>
    <row r="24">
      <c r="A24" s="59"/>
      <c r="B24" s="28"/>
      <c r="C24" s="28"/>
      <c r="D24" s="28"/>
      <c r="E24" s="28"/>
      <c r="F24" s="28"/>
      <c r="H24" s="44" t="s">
        <v>56</v>
      </c>
      <c r="I24" s="46">
        <f>I22-I23</f>
        <v>930.76</v>
      </c>
      <c r="L24" s="31">
        <v>45874.0</v>
      </c>
      <c r="M24" s="32" t="s">
        <v>135</v>
      </c>
      <c r="N24" s="32" t="s">
        <v>52</v>
      </c>
      <c r="O24" s="29">
        <v>910.2</v>
      </c>
      <c r="P24" s="28"/>
      <c r="Q24" s="36">
        <f t="shared" si="2"/>
        <v>12850.13</v>
      </c>
    </row>
    <row r="25">
      <c r="A25" s="59"/>
      <c r="B25" s="28"/>
      <c r="C25" s="28"/>
      <c r="D25" s="28"/>
      <c r="E25" s="28"/>
      <c r="F25" s="28"/>
      <c r="L25" s="31">
        <v>45874.0</v>
      </c>
      <c r="M25" s="32" t="s">
        <v>138</v>
      </c>
      <c r="N25" s="32" t="s">
        <v>87</v>
      </c>
      <c r="O25" s="38">
        <v>86.0</v>
      </c>
      <c r="P25" s="28"/>
      <c r="Q25" s="36">
        <f t="shared" si="2"/>
        <v>12764.13</v>
      </c>
    </row>
    <row r="26">
      <c r="A26" s="59"/>
      <c r="B26" s="28"/>
      <c r="C26" s="28"/>
      <c r="D26" s="28"/>
      <c r="E26" s="28"/>
      <c r="F26" s="28"/>
      <c r="L26" s="31">
        <v>45874.0</v>
      </c>
      <c r="M26" s="32" t="s">
        <v>138</v>
      </c>
      <c r="N26" s="32" t="s">
        <v>87</v>
      </c>
      <c r="O26" s="38">
        <v>100.0</v>
      </c>
      <c r="P26" s="28"/>
      <c r="Q26" s="36">
        <f t="shared" si="2"/>
        <v>12664.13</v>
      </c>
    </row>
    <row r="27">
      <c r="A27" s="59"/>
      <c r="B27" s="28"/>
      <c r="C27" s="28"/>
      <c r="D27" s="28"/>
      <c r="E27" s="28"/>
      <c r="F27" s="28"/>
      <c r="H27" s="41" t="s">
        <v>141</v>
      </c>
      <c r="I27" s="41">
        <v>4976.11</v>
      </c>
      <c r="L27" s="31">
        <v>45874.0</v>
      </c>
      <c r="M27" s="32" t="s">
        <v>142</v>
      </c>
      <c r="N27" s="32" t="s">
        <v>87</v>
      </c>
      <c r="O27" s="38">
        <v>24.0</v>
      </c>
      <c r="P27" s="28"/>
      <c r="Q27" s="36">
        <f t="shared" si="2"/>
        <v>12640.13</v>
      </c>
    </row>
    <row r="28">
      <c r="A28" s="59"/>
      <c r="B28" s="28"/>
      <c r="C28" s="28"/>
      <c r="D28" s="28"/>
      <c r="E28" s="28"/>
      <c r="F28" s="28"/>
      <c r="H28" s="41" t="s">
        <v>143</v>
      </c>
      <c r="I28" s="41">
        <v>2305.98</v>
      </c>
      <c r="L28" s="31">
        <v>45874.0</v>
      </c>
      <c r="M28" s="32" t="s">
        <v>146</v>
      </c>
      <c r="N28" s="32" t="s">
        <v>87</v>
      </c>
      <c r="O28" s="29">
        <v>48.01</v>
      </c>
      <c r="P28" s="28"/>
      <c r="Q28" s="36">
        <f t="shared" si="2"/>
        <v>12592.12</v>
      </c>
    </row>
    <row r="29">
      <c r="A29" s="59"/>
      <c r="B29" s="28"/>
      <c r="C29" s="28"/>
      <c r="D29" s="28"/>
      <c r="E29" s="28"/>
      <c r="F29" s="28"/>
      <c r="H29" s="44" t="s">
        <v>56</v>
      </c>
      <c r="I29" s="46">
        <f>I27-I28</f>
        <v>2670.13</v>
      </c>
      <c r="L29" s="31">
        <v>45905.0</v>
      </c>
      <c r="M29" s="32" t="s">
        <v>151</v>
      </c>
      <c r="N29" s="32" t="s">
        <v>152</v>
      </c>
      <c r="O29" s="29">
        <v>3755.7</v>
      </c>
      <c r="P29" s="28"/>
      <c r="Q29" s="36">
        <f t="shared" si="2"/>
        <v>8836.42</v>
      </c>
    </row>
    <row r="30">
      <c r="A30" s="59"/>
      <c r="B30" s="28"/>
      <c r="C30" s="28"/>
      <c r="D30" s="28"/>
      <c r="E30" s="28"/>
      <c r="F30" s="28"/>
      <c r="L30" s="37" t="s">
        <v>155</v>
      </c>
      <c r="M30" s="32" t="s">
        <v>157</v>
      </c>
      <c r="N30" s="28"/>
      <c r="O30" s="28"/>
      <c r="P30" s="29">
        <v>1214.8</v>
      </c>
      <c r="Q30" s="36">
        <f t="shared" si="2"/>
        <v>10051.22</v>
      </c>
    </row>
    <row r="31">
      <c r="A31" s="59"/>
      <c r="B31" s="28"/>
      <c r="C31" s="28"/>
      <c r="D31" s="28"/>
      <c r="E31" s="28"/>
      <c r="F31" s="28"/>
      <c r="L31" s="37" t="s">
        <v>155</v>
      </c>
      <c r="M31" s="32" t="s">
        <v>157</v>
      </c>
      <c r="N31" s="28"/>
      <c r="O31" s="28"/>
      <c r="P31" s="29">
        <v>1699.0</v>
      </c>
      <c r="Q31" s="36">
        <f t="shared" si="2"/>
        <v>11750.22</v>
      </c>
    </row>
    <row r="32">
      <c r="A32" s="59"/>
      <c r="B32" s="28"/>
      <c r="C32" s="28"/>
      <c r="D32" s="28"/>
      <c r="E32" s="28"/>
      <c r="F32" s="28"/>
      <c r="H32" s="41" t="s">
        <v>162</v>
      </c>
      <c r="L32" s="37" t="s">
        <v>163</v>
      </c>
      <c r="M32" s="32" t="s">
        <v>164</v>
      </c>
      <c r="N32" s="32" t="s">
        <v>48</v>
      </c>
      <c r="O32" s="29">
        <v>101.65</v>
      </c>
      <c r="P32" s="28"/>
      <c r="Q32" s="36">
        <f t="shared" si="2"/>
        <v>11648.57</v>
      </c>
    </row>
    <row r="33">
      <c r="A33" s="59"/>
      <c r="B33" s="28"/>
      <c r="C33" s="28"/>
      <c r="D33" s="28"/>
      <c r="E33" s="28"/>
      <c r="F33" s="28"/>
      <c r="H33" s="41" t="s">
        <v>171</v>
      </c>
      <c r="I33" s="41">
        <v>8200.0</v>
      </c>
      <c r="J33" s="41" t="s">
        <v>172</v>
      </c>
      <c r="L33" s="37" t="s">
        <v>173</v>
      </c>
      <c r="M33" s="32" t="s">
        <v>174</v>
      </c>
      <c r="N33" s="32" t="s">
        <v>175</v>
      </c>
      <c r="O33" s="29">
        <v>38.94</v>
      </c>
      <c r="P33" s="28"/>
      <c r="Q33" s="36">
        <f t="shared" si="2"/>
        <v>11609.63</v>
      </c>
    </row>
    <row r="34">
      <c r="A34" s="59"/>
      <c r="B34" s="28"/>
      <c r="C34" s="28"/>
      <c r="D34" s="28"/>
      <c r="E34" s="28"/>
      <c r="F34" s="28"/>
      <c r="L34" s="37" t="s">
        <v>173</v>
      </c>
      <c r="M34" s="32" t="s">
        <v>179</v>
      </c>
      <c r="N34" s="32" t="s">
        <v>175</v>
      </c>
      <c r="O34" s="29">
        <v>2060.3</v>
      </c>
      <c r="P34" s="28"/>
      <c r="Q34" s="36">
        <f t="shared" si="2"/>
        <v>9549.33</v>
      </c>
    </row>
    <row r="35">
      <c r="A35" s="59"/>
      <c r="B35" s="28"/>
      <c r="C35" s="28"/>
      <c r="D35" s="28"/>
      <c r="E35" s="28"/>
      <c r="F35" s="28"/>
      <c r="L35" s="37" t="s">
        <v>173</v>
      </c>
      <c r="M35" s="32" t="s">
        <v>183</v>
      </c>
      <c r="N35" s="32" t="s">
        <v>175</v>
      </c>
      <c r="O35" s="38">
        <v>675.0</v>
      </c>
      <c r="P35" s="28"/>
      <c r="Q35" s="36">
        <f t="shared" si="2"/>
        <v>8874.33</v>
      </c>
    </row>
    <row r="36">
      <c r="A36" s="59"/>
      <c r="B36" s="28"/>
      <c r="C36" s="28"/>
      <c r="D36" s="28"/>
      <c r="E36" s="28"/>
      <c r="F36" s="28"/>
      <c r="L36" s="37" t="s">
        <v>173</v>
      </c>
      <c r="M36" s="32" t="s">
        <v>186</v>
      </c>
      <c r="N36" s="32" t="s">
        <v>175</v>
      </c>
      <c r="O36" s="38">
        <v>656.0</v>
      </c>
      <c r="P36" s="28"/>
      <c r="Q36" s="36">
        <f t="shared" si="2"/>
        <v>8218.33</v>
      </c>
    </row>
    <row r="37">
      <c r="A37" s="59"/>
      <c r="B37" s="28"/>
      <c r="C37" s="28"/>
      <c r="D37" s="28"/>
      <c r="E37" s="28"/>
      <c r="F37" s="28"/>
      <c r="L37" s="37" t="s">
        <v>189</v>
      </c>
      <c r="M37" s="32" t="s">
        <v>190</v>
      </c>
      <c r="N37" s="32" t="s">
        <v>175</v>
      </c>
      <c r="O37" s="29">
        <v>115.2</v>
      </c>
      <c r="P37" s="28"/>
      <c r="Q37" s="36">
        <f t="shared" si="2"/>
        <v>8103.13</v>
      </c>
    </row>
    <row r="38">
      <c r="A38" s="59"/>
      <c r="B38" s="28"/>
      <c r="C38" s="28"/>
      <c r="D38" s="28"/>
      <c r="E38" s="28"/>
      <c r="F38" s="28"/>
      <c r="L38" s="31">
        <v>45785.0</v>
      </c>
      <c r="M38" s="32" t="s">
        <v>196</v>
      </c>
      <c r="N38" s="28"/>
      <c r="O38" s="28"/>
      <c r="P38" s="29">
        <v>1577.7</v>
      </c>
      <c r="Q38" s="36">
        <f t="shared" si="2"/>
        <v>9680.83</v>
      </c>
    </row>
    <row r="39">
      <c r="A39" s="59"/>
      <c r="B39" s="28"/>
      <c r="C39" s="28"/>
      <c r="D39" s="28"/>
      <c r="E39" s="28"/>
      <c r="F39" s="28"/>
      <c r="L39" s="37" t="s">
        <v>198</v>
      </c>
      <c r="M39" s="32" t="s">
        <v>125</v>
      </c>
      <c r="N39" s="28"/>
      <c r="O39" s="28"/>
      <c r="P39" s="29">
        <v>6.89</v>
      </c>
      <c r="Q39" s="36">
        <f t="shared" si="2"/>
        <v>9687.72</v>
      </c>
    </row>
    <row r="40">
      <c r="A40" s="59"/>
      <c r="B40" s="28"/>
      <c r="C40" s="28"/>
      <c r="D40" s="28"/>
      <c r="E40" s="28"/>
      <c r="F40" s="28"/>
      <c r="L40" s="37" t="s">
        <v>204</v>
      </c>
      <c r="M40" s="32" t="s">
        <v>125</v>
      </c>
      <c r="N40" s="28"/>
      <c r="O40" s="28"/>
      <c r="P40" s="29">
        <v>6.89</v>
      </c>
      <c r="Q40" s="36">
        <f t="shared" si="2"/>
        <v>9694.61</v>
      </c>
    </row>
    <row r="41">
      <c r="A41" s="59"/>
      <c r="B41" s="28"/>
      <c r="C41" s="28"/>
      <c r="D41" s="28"/>
      <c r="E41" s="28"/>
      <c r="F41" s="28"/>
      <c r="L41" s="37" t="s">
        <v>209</v>
      </c>
      <c r="M41" s="32" t="s">
        <v>125</v>
      </c>
      <c r="N41" s="28"/>
      <c r="O41" s="28"/>
      <c r="P41" s="29">
        <v>41.34</v>
      </c>
      <c r="Q41" s="36">
        <f t="shared" si="2"/>
        <v>9735.95</v>
      </c>
    </row>
    <row r="42">
      <c r="L42" s="37" t="s">
        <v>212</v>
      </c>
      <c r="M42" s="32" t="s">
        <v>213</v>
      </c>
      <c r="N42" s="28"/>
      <c r="O42" s="28"/>
      <c r="P42" s="29">
        <v>20.67</v>
      </c>
      <c r="Q42" s="36">
        <f t="shared" si="2"/>
        <v>9756.62</v>
      </c>
    </row>
    <row r="43">
      <c r="L43" s="37" t="s">
        <v>217</v>
      </c>
      <c r="M43" s="32" t="s">
        <v>125</v>
      </c>
      <c r="N43" s="28"/>
      <c r="O43" s="28"/>
      <c r="P43" s="29">
        <v>27.56</v>
      </c>
      <c r="Q43" s="36">
        <f t="shared" si="2"/>
        <v>9784.18</v>
      </c>
    </row>
    <row r="44">
      <c r="L44" s="37" t="s">
        <v>221</v>
      </c>
      <c r="M44" s="32" t="s">
        <v>125</v>
      </c>
      <c r="N44" s="28"/>
      <c r="O44" s="28"/>
      <c r="P44" s="29">
        <v>89.55</v>
      </c>
      <c r="Q44" s="36">
        <f t="shared" si="2"/>
        <v>9873.73</v>
      </c>
    </row>
    <row r="45">
      <c r="L45" s="37" t="s">
        <v>225</v>
      </c>
      <c r="M45" s="32" t="s">
        <v>125</v>
      </c>
      <c r="N45" s="28"/>
      <c r="O45" s="28"/>
      <c r="P45" s="29">
        <v>13.78</v>
      </c>
      <c r="Q45" s="36">
        <f t="shared" si="2"/>
        <v>9887.51</v>
      </c>
    </row>
    <row r="46">
      <c r="L46" s="37" t="s">
        <v>230</v>
      </c>
      <c r="M46" s="32" t="s">
        <v>125</v>
      </c>
      <c r="N46" s="28"/>
      <c r="O46" s="28"/>
      <c r="P46" s="29">
        <v>96.43</v>
      </c>
      <c r="Q46" s="36">
        <f t="shared" si="2"/>
        <v>9983.94</v>
      </c>
    </row>
    <row r="47">
      <c r="L47" s="37" t="s">
        <v>235</v>
      </c>
      <c r="M47" s="32" t="s">
        <v>237</v>
      </c>
      <c r="N47" s="28"/>
      <c r="O47" s="28"/>
      <c r="P47" s="29">
        <v>199.77</v>
      </c>
      <c r="Q47" s="36">
        <f t="shared" si="2"/>
        <v>10183.71</v>
      </c>
    </row>
    <row r="48">
      <c r="L48" s="31">
        <v>45697.0</v>
      </c>
      <c r="M48" s="32" t="s">
        <v>241</v>
      </c>
      <c r="N48" s="28"/>
      <c r="O48" s="28"/>
      <c r="P48" s="29">
        <v>75.79</v>
      </c>
      <c r="Q48" s="36">
        <f t="shared" si="2"/>
        <v>10259.5</v>
      </c>
    </row>
    <row r="49">
      <c r="L49" s="31">
        <v>46000.0</v>
      </c>
      <c r="M49" s="32" t="s">
        <v>243</v>
      </c>
      <c r="N49" s="32" t="s">
        <v>175</v>
      </c>
      <c r="O49" s="28"/>
      <c r="P49" s="29">
        <v>4476.2</v>
      </c>
      <c r="Q49" s="36">
        <f t="shared" si="2"/>
        <v>14735.7</v>
      </c>
    </row>
    <row r="50">
      <c r="L50" s="37" t="s">
        <v>245</v>
      </c>
      <c r="M50" s="32" t="s">
        <v>246</v>
      </c>
      <c r="N50" s="32" t="s">
        <v>247</v>
      </c>
      <c r="O50" s="29">
        <v>212.16</v>
      </c>
      <c r="P50" s="28"/>
      <c r="Q50" s="36">
        <f t="shared" si="2"/>
        <v>14523.54</v>
      </c>
    </row>
    <row r="51">
      <c r="L51" s="37" t="s">
        <v>249</v>
      </c>
      <c r="M51" s="32" t="s">
        <v>250</v>
      </c>
      <c r="N51" s="28"/>
      <c r="O51" s="29">
        <v>2407.0</v>
      </c>
      <c r="P51" s="28"/>
      <c r="Q51" s="36">
        <f t="shared" si="2"/>
        <v>12116.54</v>
      </c>
    </row>
    <row r="52">
      <c r="L52" s="37" t="s">
        <v>254</v>
      </c>
      <c r="M52" s="32" t="s">
        <v>255</v>
      </c>
      <c r="N52" s="32" t="s">
        <v>247</v>
      </c>
      <c r="O52" s="29">
        <v>4.75</v>
      </c>
      <c r="P52" s="28"/>
      <c r="Q52" s="36">
        <f t="shared" si="2"/>
        <v>12111.79</v>
      </c>
    </row>
    <row r="53">
      <c r="L53" s="37" t="s">
        <v>258</v>
      </c>
      <c r="M53" s="32" t="s">
        <v>259</v>
      </c>
      <c r="N53" s="32" t="s">
        <v>247</v>
      </c>
      <c r="O53" s="38">
        <v>50.0</v>
      </c>
      <c r="P53" s="28"/>
      <c r="Q53" s="36">
        <f t="shared" si="2"/>
        <v>12061.79</v>
      </c>
    </row>
    <row r="54">
      <c r="L54" s="37" t="s">
        <v>261</v>
      </c>
      <c r="M54" s="32" t="s">
        <v>263</v>
      </c>
      <c r="N54" s="32" t="s">
        <v>247</v>
      </c>
      <c r="O54" s="38">
        <v>166.0</v>
      </c>
      <c r="P54" s="28"/>
      <c r="Q54" s="36">
        <f t="shared" si="2"/>
        <v>11895.79</v>
      </c>
    </row>
    <row r="55">
      <c r="L55" s="37" t="s">
        <v>261</v>
      </c>
      <c r="M55" s="32" t="s">
        <v>267</v>
      </c>
      <c r="N55" s="32" t="s">
        <v>247</v>
      </c>
      <c r="O55" s="29">
        <v>59.2</v>
      </c>
      <c r="P55" s="28"/>
      <c r="Q55" s="36">
        <f t="shared" si="2"/>
        <v>11836.59</v>
      </c>
    </row>
    <row r="56">
      <c r="L56" s="37" t="s">
        <v>271</v>
      </c>
      <c r="M56" s="32" t="s">
        <v>272</v>
      </c>
      <c r="N56" s="32" t="s">
        <v>247</v>
      </c>
      <c r="O56" s="29">
        <v>454.8</v>
      </c>
      <c r="P56" s="28"/>
      <c r="Q56" s="36">
        <f t="shared" si="2"/>
        <v>11381.79</v>
      </c>
    </row>
    <row r="57">
      <c r="L57" s="37" t="s">
        <v>275</v>
      </c>
      <c r="M57" s="32" t="s">
        <v>277</v>
      </c>
      <c r="N57" s="32" t="s">
        <v>247</v>
      </c>
      <c r="O57" s="28"/>
      <c r="P57" s="29">
        <v>3318.5</v>
      </c>
      <c r="Q57" s="36">
        <f t="shared" si="2"/>
        <v>14700.29</v>
      </c>
    </row>
    <row r="58">
      <c r="L58" s="37" t="s">
        <v>275</v>
      </c>
      <c r="M58" s="32" t="s">
        <v>281</v>
      </c>
      <c r="N58" s="32" t="s">
        <v>247</v>
      </c>
      <c r="O58" s="29">
        <v>976.5</v>
      </c>
      <c r="P58" s="28"/>
      <c r="Q58" s="36">
        <f t="shared" si="2"/>
        <v>13723.79</v>
      </c>
    </row>
    <row r="59">
      <c r="L59" s="37" t="s">
        <v>284</v>
      </c>
      <c r="M59" s="32" t="s">
        <v>285</v>
      </c>
      <c r="N59" s="32" t="s">
        <v>247</v>
      </c>
      <c r="O59" s="29">
        <v>141.3</v>
      </c>
      <c r="P59" s="32"/>
      <c r="Q59" s="36">
        <f t="shared" si="2"/>
        <v>13582.49</v>
      </c>
    </row>
    <row r="60">
      <c r="L60" s="37" t="s">
        <v>284</v>
      </c>
      <c r="M60" s="32" t="s">
        <v>287</v>
      </c>
      <c r="N60" s="32" t="s">
        <v>247</v>
      </c>
      <c r="O60" s="29">
        <v>241.27</v>
      </c>
      <c r="P60" s="28"/>
      <c r="Q60" s="36">
        <f t="shared" si="2"/>
        <v>13341.22</v>
      </c>
    </row>
    <row r="61">
      <c r="L61" s="37" t="s">
        <v>284</v>
      </c>
      <c r="M61" s="32" t="s">
        <v>291</v>
      </c>
      <c r="N61" s="32" t="s">
        <v>247</v>
      </c>
      <c r="O61" s="28"/>
      <c r="P61" s="29">
        <v>1657.61</v>
      </c>
      <c r="Q61" s="36">
        <f t="shared" si="2"/>
        <v>14998.83</v>
      </c>
    </row>
    <row r="62">
      <c r="L62" s="37" t="s">
        <v>294</v>
      </c>
      <c r="M62" s="32" t="s">
        <v>241</v>
      </c>
      <c r="N62" s="28"/>
      <c r="O62" s="28"/>
      <c r="P62" s="29">
        <v>9.84</v>
      </c>
      <c r="Q62" s="36">
        <f t="shared" si="2"/>
        <v>15008.67</v>
      </c>
    </row>
    <row r="63">
      <c r="L63" s="37" t="s">
        <v>297</v>
      </c>
      <c r="M63" s="32" t="s">
        <v>299</v>
      </c>
      <c r="N63" s="28"/>
      <c r="O63" s="28"/>
      <c r="P63" s="38">
        <v>35.0</v>
      </c>
      <c r="Q63" s="36">
        <f t="shared" si="2"/>
        <v>15043.67</v>
      </c>
    </row>
    <row r="64">
      <c r="L64" s="37" t="s">
        <v>301</v>
      </c>
      <c r="M64" s="32" t="s">
        <v>303</v>
      </c>
      <c r="N64" s="28"/>
      <c r="O64" s="29">
        <v>244.82</v>
      </c>
      <c r="P64" s="28"/>
      <c r="Q64" s="36">
        <f t="shared" si="2"/>
        <v>14798.85</v>
      </c>
    </row>
    <row r="65">
      <c r="L65" s="37" t="s">
        <v>301</v>
      </c>
      <c r="M65" s="32" t="s">
        <v>306</v>
      </c>
      <c r="N65" s="30" t="s">
        <v>308</v>
      </c>
      <c r="O65" s="29">
        <v>1485.55</v>
      </c>
      <c r="P65" s="28"/>
      <c r="Q65" s="36">
        <f t="shared" si="2"/>
        <v>13313.3</v>
      </c>
    </row>
    <row r="66">
      <c r="L66" s="37" t="s">
        <v>301</v>
      </c>
      <c r="M66" s="32" t="s">
        <v>310</v>
      </c>
      <c r="N66" s="28"/>
      <c r="O66" s="38">
        <v>650.0</v>
      </c>
      <c r="P66" s="28"/>
      <c r="Q66" s="36">
        <f t="shared" si="2"/>
        <v>12663.3</v>
      </c>
    </row>
    <row r="67">
      <c r="L67" s="55">
        <v>45972.0</v>
      </c>
      <c r="M67" s="32" t="s">
        <v>314</v>
      </c>
      <c r="N67" s="28"/>
      <c r="O67" s="28"/>
      <c r="P67" s="38">
        <v>80.0</v>
      </c>
      <c r="Q67" s="36">
        <f t="shared" si="2"/>
        <v>12743.3</v>
      </c>
    </row>
    <row r="68">
      <c r="L68" s="37" t="s">
        <v>318</v>
      </c>
      <c r="M68" s="32" t="s">
        <v>319</v>
      </c>
      <c r="N68" s="32" t="s">
        <v>320</v>
      </c>
      <c r="O68" s="28"/>
      <c r="P68" s="38">
        <v>200.0</v>
      </c>
      <c r="Q68" s="36">
        <f t="shared" si="2"/>
        <v>12943.3</v>
      </c>
    </row>
    <row r="69">
      <c r="L69" s="37" t="s">
        <v>321</v>
      </c>
      <c r="M69" s="32" t="s">
        <v>322</v>
      </c>
      <c r="N69" s="32" t="s">
        <v>323</v>
      </c>
      <c r="O69" s="29">
        <v>462.95</v>
      </c>
      <c r="P69" s="28"/>
      <c r="Q69" s="36">
        <f t="shared" si="2"/>
        <v>12480.35</v>
      </c>
    </row>
    <row r="70">
      <c r="L70" s="37" t="s">
        <v>325</v>
      </c>
      <c r="M70" s="32" t="s">
        <v>326</v>
      </c>
      <c r="N70" s="32" t="s">
        <v>320</v>
      </c>
      <c r="O70" s="28"/>
      <c r="P70" s="38">
        <v>200.0</v>
      </c>
      <c r="Q70" s="36">
        <f t="shared" si="2"/>
        <v>12680.35</v>
      </c>
    </row>
    <row r="71">
      <c r="L71" s="37" t="s">
        <v>329</v>
      </c>
      <c r="M71" s="32" t="s">
        <v>331</v>
      </c>
      <c r="N71" s="32" t="s">
        <v>320</v>
      </c>
      <c r="O71" s="28"/>
      <c r="P71" s="38">
        <v>200.0</v>
      </c>
      <c r="Q71" s="36">
        <f t="shared" si="2"/>
        <v>12880.35</v>
      </c>
    </row>
    <row r="72">
      <c r="L72" s="70">
        <v>45669.0</v>
      </c>
      <c r="M72" s="32" t="s">
        <v>334</v>
      </c>
      <c r="N72" s="32" t="s">
        <v>320</v>
      </c>
      <c r="O72" s="28"/>
      <c r="P72" s="38">
        <v>200.0</v>
      </c>
      <c r="Q72" s="36">
        <f t="shared" si="2"/>
        <v>13080.35</v>
      </c>
    </row>
    <row r="73">
      <c r="L73" s="31">
        <v>45669.0</v>
      </c>
      <c r="M73" s="32" t="s">
        <v>336</v>
      </c>
      <c r="N73" s="32" t="s">
        <v>320</v>
      </c>
      <c r="O73" s="28"/>
      <c r="P73" s="38">
        <v>200.0</v>
      </c>
      <c r="Q73" s="36">
        <f t="shared" si="2"/>
        <v>13280.35</v>
      </c>
    </row>
    <row r="74">
      <c r="L74" s="31">
        <v>45820.0</v>
      </c>
      <c r="M74" s="32" t="s">
        <v>337</v>
      </c>
      <c r="N74" s="28"/>
      <c r="O74" s="28"/>
      <c r="P74" s="29">
        <v>241.08</v>
      </c>
      <c r="Q74" s="36">
        <f t="shared" si="2"/>
        <v>13521.43</v>
      </c>
    </row>
    <row r="75">
      <c r="L75" s="31">
        <v>45912.0</v>
      </c>
      <c r="M75" s="32" t="s">
        <v>241</v>
      </c>
      <c r="N75" s="28"/>
      <c r="O75" s="28"/>
      <c r="P75" s="29">
        <v>723.24</v>
      </c>
      <c r="Q75" s="36">
        <f t="shared" si="2"/>
        <v>14244.67</v>
      </c>
    </row>
    <row r="76">
      <c r="L76" s="31">
        <v>45942.0</v>
      </c>
      <c r="M76" s="32" t="s">
        <v>241</v>
      </c>
      <c r="N76" s="28"/>
      <c r="O76" s="28"/>
      <c r="P76" s="29">
        <v>619.92</v>
      </c>
      <c r="Q76" s="36">
        <f t="shared" si="2"/>
        <v>14864.59</v>
      </c>
    </row>
    <row r="77">
      <c r="L77" s="31">
        <v>45973.0</v>
      </c>
      <c r="M77" s="32" t="s">
        <v>241</v>
      </c>
      <c r="N77" s="28"/>
      <c r="O77" s="28"/>
      <c r="P77" s="29">
        <v>482.16</v>
      </c>
      <c r="Q77" s="36">
        <f t="shared" si="2"/>
        <v>15346.75</v>
      </c>
    </row>
    <row r="78">
      <c r="L78" s="31">
        <v>45973.0</v>
      </c>
      <c r="M78" s="32" t="s">
        <v>346</v>
      </c>
      <c r="N78" s="32" t="s">
        <v>320</v>
      </c>
      <c r="O78" s="28"/>
      <c r="P78" s="38">
        <v>200.0</v>
      </c>
      <c r="Q78" s="36">
        <f t="shared" si="2"/>
        <v>15546.75</v>
      </c>
    </row>
    <row r="79">
      <c r="L79" s="55">
        <v>46003.0</v>
      </c>
      <c r="M79" s="32" t="s">
        <v>241</v>
      </c>
      <c r="N79" s="28"/>
      <c r="O79" s="28"/>
      <c r="P79" s="29">
        <v>723.24</v>
      </c>
      <c r="Q79" s="36">
        <f t="shared" si="2"/>
        <v>16269.99</v>
      </c>
    </row>
    <row r="80">
      <c r="L80" s="37" t="s">
        <v>349</v>
      </c>
      <c r="M80" s="32" t="s">
        <v>350</v>
      </c>
      <c r="N80" s="28"/>
      <c r="O80" s="28"/>
      <c r="P80" s="29">
        <v>826.56</v>
      </c>
      <c r="Q80" s="36">
        <f t="shared" si="2"/>
        <v>17096.55</v>
      </c>
    </row>
    <row r="81">
      <c r="L81" s="37" t="s">
        <v>351</v>
      </c>
      <c r="M81" s="32" t="s">
        <v>353</v>
      </c>
      <c r="N81" s="30" t="s">
        <v>308</v>
      </c>
      <c r="O81" s="38">
        <v>910.0</v>
      </c>
      <c r="P81" s="28"/>
      <c r="Q81" s="36">
        <f t="shared" si="2"/>
        <v>16186.55</v>
      </c>
    </row>
    <row r="82">
      <c r="L82" s="37" t="s">
        <v>357</v>
      </c>
      <c r="M82" s="32" t="s">
        <v>241</v>
      </c>
      <c r="N82" s="28"/>
      <c r="O82" s="28"/>
      <c r="P82" s="29">
        <v>447.72</v>
      </c>
      <c r="Q82" s="36">
        <f t="shared" si="2"/>
        <v>16634.27</v>
      </c>
    </row>
    <row r="83">
      <c r="L83" s="37" t="s">
        <v>359</v>
      </c>
      <c r="M83" s="32" t="s">
        <v>241</v>
      </c>
      <c r="N83" s="28"/>
      <c r="O83" s="28"/>
      <c r="P83" s="29">
        <v>885.6</v>
      </c>
      <c r="Q83" s="36">
        <f t="shared" si="2"/>
        <v>17519.87</v>
      </c>
    </row>
    <row r="84">
      <c r="L84" s="37" t="s">
        <v>359</v>
      </c>
      <c r="M84" s="32" t="s">
        <v>364</v>
      </c>
      <c r="N84" s="30" t="s">
        <v>308</v>
      </c>
      <c r="O84" s="38">
        <v>500.0</v>
      </c>
      <c r="P84" s="28"/>
      <c r="Q84" s="36">
        <f t="shared" si="2"/>
        <v>17019.87</v>
      </c>
    </row>
    <row r="85">
      <c r="L85" s="37" t="s">
        <v>365</v>
      </c>
      <c r="M85" s="32" t="s">
        <v>241</v>
      </c>
      <c r="N85" s="28"/>
      <c r="O85" s="28"/>
      <c r="P85" s="29">
        <v>447.72</v>
      </c>
      <c r="Q85" s="36">
        <f t="shared" si="2"/>
        <v>17467.59</v>
      </c>
    </row>
    <row r="86">
      <c r="L86" s="37" t="s">
        <v>367</v>
      </c>
      <c r="M86" s="32" t="s">
        <v>369</v>
      </c>
      <c r="N86" s="28"/>
      <c r="O86" s="29">
        <v>22.5</v>
      </c>
      <c r="P86" s="29"/>
      <c r="Q86" s="36">
        <f t="shared" si="2"/>
        <v>17445.09</v>
      </c>
    </row>
    <row r="87">
      <c r="L87" s="37" t="s">
        <v>367</v>
      </c>
      <c r="M87" s="32" t="s">
        <v>372</v>
      </c>
      <c r="N87" s="32" t="s">
        <v>320</v>
      </c>
      <c r="O87" s="28"/>
      <c r="P87" s="29">
        <v>5112.95</v>
      </c>
      <c r="Q87" s="36">
        <f t="shared" si="2"/>
        <v>22558.04</v>
      </c>
    </row>
    <row r="88">
      <c r="L88" s="37" t="s">
        <v>367</v>
      </c>
      <c r="M88" s="32" t="s">
        <v>375</v>
      </c>
      <c r="N88" s="32" t="s">
        <v>320</v>
      </c>
      <c r="O88" s="28"/>
      <c r="P88" s="38">
        <v>200.0</v>
      </c>
      <c r="Q88" s="36">
        <f t="shared" si="2"/>
        <v>22758.04</v>
      </c>
    </row>
    <row r="89">
      <c r="L89" s="37" t="s">
        <v>367</v>
      </c>
      <c r="M89" s="32" t="s">
        <v>376</v>
      </c>
      <c r="N89" s="32" t="s">
        <v>320</v>
      </c>
      <c r="O89" s="28"/>
      <c r="P89" s="38">
        <v>200.0</v>
      </c>
      <c r="Q89" s="36">
        <f t="shared" si="2"/>
        <v>22958.04</v>
      </c>
    </row>
    <row r="90">
      <c r="L90" s="37" t="s">
        <v>367</v>
      </c>
      <c r="M90" s="32" t="s">
        <v>241</v>
      </c>
      <c r="N90" s="28"/>
      <c r="O90" s="28"/>
      <c r="P90" s="38">
        <v>861.0</v>
      </c>
      <c r="Q90" s="36">
        <f t="shared" si="2"/>
        <v>23819.04</v>
      </c>
    </row>
    <row r="91">
      <c r="L91" s="37" t="s">
        <v>367</v>
      </c>
      <c r="M91" s="32" t="s">
        <v>380</v>
      </c>
      <c r="N91" s="32" t="s">
        <v>320</v>
      </c>
      <c r="O91" s="28"/>
      <c r="P91" s="38">
        <v>200.0</v>
      </c>
      <c r="Q91" s="36">
        <f t="shared" si="2"/>
        <v>24019.04</v>
      </c>
    </row>
    <row r="92">
      <c r="L92" s="37" t="s">
        <v>382</v>
      </c>
      <c r="M92" s="32" t="s">
        <v>383</v>
      </c>
      <c r="N92" s="28"/>
      <c r="O92" s="28"/>
      <c r="P92" s="29">
        <v>383.76</v>
      </c>
      <c r="Q92" s="36">
        <f t="shared" si="2"/>
        <v>24402.8</v>
      </c>
    </row>
    <row r="94">
      <c r="P94" s="46">
        <f>SUM(P2:P92)</f>
        <v>44140.51</v>
      </c>
    </row>
  </sheetData>
  <mergeCells count="6">
    <mergeCell ref="A1:F1"/>
    <mergeCell ref="L1:Q1"/>
    <mergeCell ref="A2:F2"/>
    <mergeCell ref="L2:Q2"/>
    <mergeCell ref="A3:F3"/>
    <mergeCell ref="L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60.5"/>
    <col customWidth="1" min="3" max="3" width="12.63"/>
    <col hidden="1" min="8" max="11" width="12.63"/>
    <col customWidth="1" min="12" max="12" width="9.63"/>
    <col customWidth="1" min="13" max="13" width="67.25"/>
    <col customWidth="1" min="14" max="14" width="19.63"/>
    <col customWidth="1" min="20" max="20" width="13.38"/>
  </cols>
  <sheetData>
    <row r="1">
      <c r="A1" s="2">
        <v>2026.0</v>
      </c>
      <c r="L1" s="2">
        <v>2026.0</v>
      </c>
    </row>
    <row r="2">
      <c r="A2" s="3" t="s">
        <v>1</v>
      </c>
      <c r="B2" s="4"/>
      <c r="C2" s="4"/>
      <c r="D2" s="4"/>
      <c r="E2" s="4"/>
      <c r="F2" s="4"/>
      <c r="L2" s="3" t="s">
        <v>1</v>
      </c>
      <c r="M2" s="4"/>
      <c r="N2" s="4"/>
      <c r="O2" s="4"/>
      <c r="P2" s="4"/>
      <c r="Q2" s="4"/>
      <c r="T2" s="44" t="s">
        <v>161</v>
      </c>
    </row>
    <row r="3">
      <c r="A3" s="5" t="s">
        <v>4</v>
      </c>
      <c r="B3" s="6"/>
      <c r="C3" s="6"/>
      <c r="D3" s="6"/>
      <c r="E3" s="6"/>
      <c r="F3" s="6"/>
      <c r="L3" s="5" t="s">
        <v>6</v>
      </c>
      <c r="M3" s="6"/>
      <c r="N3" s="6"/>
      <c r="O3" s="6"/>
      <c r="P3" s="6"/>
      <c r="Q3" s="6"/>
      <c r="T3" s="44" t="s">
        <v>168</v>
      </c>
      <c r="U3" s="44" t="s">
        <v>169</v>
      </c>
      <c r="V3" s="44" t="s">
        <v>170</v>
      </c>
    </row>
    <row r="4">
      <c r="A4" s="8" t="s">
        <v>5</v>
      </c>
      <c r="B4" s="10" t="s">
        <v>7</v>
      </c>
      <c r="C4" s="11" t="s">
        <v>11</v>
      </c>
      <c r="D4" s="11" t="s">
        <v>9</v>
      </c>
      <c r="E4" s="14" t="s">
        <v>10</v>
      </c>
      <c r="F4" s="15" t="s">
        <v>12</v>
      </c>
      <c r="L4" s="8" t="s">
        <v>5</v>
      </c>
      <c r="M4" s="10" t="s">
        <v>7</v>
      </c>
      <c r="N4" s="11" t="s">
        <v>11</v>
      </c>
      <c r="O4" s="11" t="s">
        <v>9</v>
      </c>
      <c r="P4" s="14" t="s">
        <v>10</v>
      </c>
      <c r="Q4" s="15" t="s">
        <v>12</v>
      </c>
      <c r="U4" s="68"/>
      <c r="V4" s="42"/>
    </row>
    <row r="5">
      <c r="A5" s="70">
        <v>46023.0</v>
      </c>
      <c r="B5" s="17" t="s">
        <v>13</v>
      </c>
      <c r="C5" s="28"/>
      <c r="D5" s="28"/>
      <c r="E5" s="36">
        <v>12351.289999999995</v>
      </c>
      <c r="F5" s="36">
        <v>12351.289999999995</v>
      </c>
      <c r="L5" s="71">
        <v>46023.0</v>
      </c>
      <c r="M5" s="17" t="s">
        <v>13</v>
      </c>
      <c r="N5" s="72"/>
      <c r="O5" s="72"/>
      <c r="P5" s="73">
        <v>24402.800000000003</v>
      </c>
      <c r="Q5" s="73">
        <v>24402.800000000003</v>
      </c>
      <c r="V5" s="74"/>
    </row>
    <row r="6">
      <c r="A6" s="70">
        <v>46023.0</v>
      </c>
      <c r="B6" s="32" t="s">
        <v>22</v>
      </c>
      <c r="C6" s="28"/>
      <c r="D6" s="28"/>
      <c r="E6" s="29">
        <v>23.18</v>
      </c>
      <c r="F6" s="36">
        <f t="shared" ref="F6:F18" si="1">F5+E6-D6</f>
        <v>12374.47</v>
      </c>
      <c r="L6" s="75" t="s">
        <v>193</v>
      </c>
      <c r="M6" s="76" t="s">
        <v>194</v>
      </c>
      <c r="N6" s="72"/>
      <c r="O6" s="77">
        <v>8200.0</v>
      </c>
      <c r="P6" s="72"/>
      <c r="Q6" s="73">
        <f t="shared" ref="Q6:Q25" si="2">Q5+P6-O6</f>
        <v>16202.8</v>
      </c>
      <c r="V6" s="42"/>
    </row>
    <row r="7">
      <c r="A7" s="70">
        <v>46024.0</v>
      </c>
      <c r="B7" s="32" t="s">
        <v>22</v>
      </c>
      <c r="C7" s="28"/>
      <c r="D7" s="28"/>
      <c r="E7" s="29">
        <v>22.07</v>
      </c>
      <c r="F7" s="36">
        <f t="shared" si="1"/>
        <v>12396.54</v>
      </c>
      <c r="L7" s="75" t="s">
        <v>200</v>
      </c>
      <c r="M7" s="76" t="s">
        <v>201</v>
      </c>
      <c r="N7" s="76" t="s">
        <v>202</v>
      </c>
      <c r="O7" s="77">
        <v>355.0</v>
      </c>
      <c r="P7" s="72"/>
      <c r="Q7" s="73">
        <f t="shared" si="2"/>
        <v>15847.8</v>
      </c>
      <c r="T7" s="41" t="s">
        <v>208</v>
      </c>
      <c r="U7" s="49">
        <f t="shared" ref="U7:V7" si="3">Sum(U4:U6)</f>
        <v>0</v>
      </c>
      <c r="V7" s="42">
        <f t="shared" si="3"/>
        <v>0</v>
      </c>
      <c r="Y7" s="41" t="s">
        <v>210</v>
      </c>
    </row>
    <row r="8">
      <c r="A8" s="70">
        <v>46025.0</v>
      </c>
      <c r="B8" s="32" t="s">
        <v>22</v>
      </c>
      <c r="C8" s="28"/>
      <c r="D8" s="28"/>
      <c r="E8" s="29">
        <v>22.09</v>
      </c>
      <c r="F8" s="36">
        <f t="shared" si="1"/>
        <v>12418.63</v>
      </c>
      <c r="L8" s="75" t="s">
        <v>215</v>
      </c>
      <c r="M8" s="76" t="s">
        <v>216</v>
      </c>
      <c r="N8" s="76" t="s">
        <v>111</v>
      </c>
      <c r="O8" s="78">
        <v>1881.35</v>
      </c>
      <c r="P8" s="72"/>
      <c r="Q8" s="73">
        <f t="shared" si="2"/>
        <v>13966.45</v>
      </c>
      <c r="T8" s="41" t="s">
        <v>220</v>
      </c>
      <c r="V8" s="42">
        <f>V7-U7</f>
        <v>0</v>
      </c>
      <c r="Y8" s="74">
        <v>36795.74</v>
      </c>
    </row>
    <row r="9">
      <c r="A9" s="31" t="s">
        <v>223</v>
      </c>
      <c r="B9" s="32" t="s">
        <v>224</v>
      </c>
      <c r="C9" s="32" t="s">
        <v>226</v>
      </c>
      <c r="D9" s="28"/>
      <c r="E9" s="38">
        <v>20000.0</v>
      </c>
      <c r="F9" s="36">
        <f t="shared" si="1"/>
        <v>32418.63</v>
      </c>
      <c r="L9" s="75" t="s">
        <v>228</v>
      </c>
      <c r="M9" s="76" t="s">
        <v>229</v>
      </c>
      <c r="N9" s="76" t="s">
        <v>111</v>
      </c>
      <c r="O9" s="77">
        <v>889.0</v>
      </c>
      <c r="P9" s="72"/>
      <c r="Q9" s="73">
        <f t="shared" si="2"/>
        <v>13077.45</v>
      </c>
      <c r="Y9" s="74">
        <v>7896.49</v>
      </c>
    </row>
    <row r="10">
      <c r="A10" s="79">
        <v>46113.0</v>
      </c>
      <c r="B10" s="80" t="s">
        <v>22</v>
      </c>
      <c r="C10" s="28"/>
      <c r="D10" s="81"/>
      <c r="E10" s="82">
        <v>30.25</v>
      </c>
      <c r="F10" s="36">
        <f t="shared" si="1"/>
        <v>32448.88</v>
      </c>
      <c r="L10" s="75" t="s">
        <v>228</v>
      </c>
      <c r="M10" s="76" t="s">
        <v>242</v>
      </c>
      <c r="N10" s="76" t="s">
        <v>111</v>
      </c>
      <c r="O10" s="78">
        <v>1064.75</v>
      </c>
      <c r="P10" s="72"/>
      <c r="Q10" s="73">
        <f t="shared" si="2"/>
        <v>12012.7</v>
      </c>
      <c r="T10" s="44" t="s">
        <v>111</v>
      </c>
      <c r="Y10" s="60">
        <f>sum(Y8:Y9)</f>
        <v>44692.23</v>
      </c>
    </row>
    <row r="11">
      <c r="A11" s="79">
        <v>46143.0</v>
      </c>
      <c r="B11" s="80" t="s">
        <v>22</v>
      </c>
      <c r="C11" s="28"/>
      <c r="D11" s="81"/>
      <c r="E11" s="82">
        <v>69.34</v>
      </c>
      <c r="F11" s="36">
        <f t="shared" si="1"/>
        <v>32518.22</v>
      </c>
      <c r="L11" s="75" t="s">
        <v>252</v>
      </c>
      <c r="M11" s="76" t="s">
        <v>253</v>
      </c>
      <c r="N11" s="72"/>
      <c r="O11" s="77">
        <v>10.0</v>
      </c>
      <c r="P11" s="72"/>
      <c r="Q11" s="73">
        <f t="shared" si="2"/>
        <v>12002.7</v>
      </c>
      <c r="T11" s="44" t="s">
        <v>168</v>
      </c>
      <c r="U11" s="44" t="s">
        <v>169</v>
      </c>
      <c r="V11" s="44" t="s">
        <v>170</v>
      </c>
    </row>
    <row r="12">
      <c r="A12" s="79">
        <v>46147.0</v>
      </c>
      <c r="B12" s="80" t="s">
        <v>257</v>
      </c>
      <c r="C12" s="28"/>
      <c r="D12" s="83">
        <v>17380.0</v>
      </c>
      <c r="E12" s="81"/>
      <c r="F12" s="36">
        <f t="shared" si="1"/>
        <v>15138.22</v>
      </c>
      <c r="L12" s="79">
        <v>46113.0</v>
      </c>
      <c r="M12" s="80" t="s">
        <v>262</v>
      </c>
      <c r="N12" s="72"/>
      <c r="O12" s="84">
        <v>591.75</v>
      </c>
      <c r="P12" s="82"/>
      <c r="Q12" s="73">
        <f t="shared" si="2"/>
        <v>11410.95</v>
      </c>
      <c r="T12" s="41" t="s">
        <v>266</v>
      </c>
      <c r="U12" s="29">
        <v>1881.35</v>
      </c>
      <c r="V12" s="42"/>
    </row>
    <row r="13">
      <c r="A13" s="79">
        <v>46153.0</v>
      </c>
      <c r="B13" s="80" t="s">
        <v>269</v>
      </c>
      <c r="C13" s="32" t="s">
        <v>270</v>
      </c>
      <c r="D13" s="81"/>
      <c r="E13" s="82">
        <v>308.1</v>
      </c>
      <c r="F13" s="36">
        <f t="shared" si="1"/>
        <v>15446.32</v>
      </c>
      <c r="L13" s="79">
        <v>46136.0</v>
      </c>
      <c r="M13" s="80" t="s">
        <v>274</v>
      </c>
      <c r="N13" s="76" t="s">
        <v>276</v>
      </c>
      <c r="O13" s="84">
        <v>175.0</v>
      </c>
      <c r="P13" s="82"/>
      <c r="Q13" s="73">
        <f t="shared" si="2"/>
        <v>11235.95</v>
      </c>
      <c r="T13" s="41" t="s">
        <v>280</v>
      </c>
      <c r="U13" s="38">
        <v>889.0</v>
      </c>
      <c r="V13" s="42"/>
    </row>
    <row r="14">
      <c r="A14" s="79">
        <v>46153.0</v>
      </c>
      <c r="B14" s="80" t="s">
        <v>282</v>
      </c>
      <c r="C14" s="32" t="s">
        <v>270</v>
      </c>
      <c r="D14" s="81"/>
      <c r="E14" s="82">
        <v>659.4</v>
      </c>
      <c r="F14" s="36">
        <f t="shared" si="1"/>
        <v>16105.72</v>
      </c>
      <c r="L14" s="79">
        <v>46136.0</v>
      </c>
      <c r="M14" s="80" t="s">
        <v>241</v>
      </c>
      <c r="N14" s="72"/>
      <c r="O14" s="85"/>
      <c r="P14" s="82">
        <v>47.22</v>
      </c>
      <c r="Q14" s="73">
        <f t="shared" si="2"/>
        <v>11283.17</v>
      </c>
      <c r="T14" s="41" t="s">
        <v>288</v>
      </c>
      <c r="U14" s="29">
        <v>1064.75</v>
      </c>
      <c r="V14" s="42"/>
    </row>
    <row r="15">
      <c r="A15" s="79">
        <v>46153.0</v>
      </c>
      <c r="B15" s="80" t="s">
        <v>289</v>
      </c>
      <c r="C15" s="32" t="s">
        <v>270</v>
      </c>
      <c r="D15" s="81"/>
      <c r="E15" s="82">
        <v>2415.0</v>
      </c>
      <c r="F15" s="36">
        <f t="shared" si="1"/>
        <v>18520.72</v>
      </c>
      <c r="L15" s="79">
        <v>46137.0</v>
      </c>
      <c r="M15" s="80" t="s">
        <v>293</v>
      </c>
      <c r="N15" s="72"/>
      <c r="O15" s="83"/>
      <c r="P15" s="84">
        <v>62.97</v>
      </c>
      <c r="Q15" s="73">
        <f t="shared" si="2"/>
        <v>11346.14</v>
      </c>
      <c r="V15" s="42"/>
    </row>
    <row r="16">
      <c r="A16" s="79">
        <v>46153.0</v>
      </c>
      <c r="B16" s="80" t="s">
        <v>298</v>
      </c>
      <c r="C16" s="32" t="s">
        <v>270</v>
      </c>
      <c r="D16" s="81"/>
      <c r="E16" s="82">
        <v>615.0</v>
      </c>
      <c r="F16" s="36">
        <f t="shared" si="1"/>
        <v>19135.72</v>
      </c>
      <c r="L16" s="79">
        <v>46141.0</v>
      </c>
      <c r="M16" s="80" t="s">
        <v>241</v>
      </c>
      <c r="N16" s="72"/>
      <c r="O16" s="83"/>
      <c r="P16" s="84">
        <v>157.43</v>
      </c>
      <c r="Q16" s="73">
        <f t="shared" si="2"/>
        <v>11503.57</v>
      </c>
      <c r="V16" s="82">
        <v>308.1</v>
      </c>
    </row>
    <row r="17">
      <c r="A17" s="79">
        <v>46156.0</v>
      </c>
      <c r="B17" s="80" t="s">
        <v>307</v>
      </c>
      <c r="C17" s="28"/>
      <c r="D17" s="83">
        <v>4000.0</v>
      </c>
      <c r="E17" s="81"/>
      <c r="F17" s="36">
        <f t="shared" si="1"/>
        <v>15135.72</v>
      </c>
      <c r="L17" s="79">
        <v>46143.0</v>
      </c>
      <c r="M17" s="80" t="s">
        <v>241</v>
      </c>
      <c r="N17" s="72"/>
      <c r="O17" s="85"/>
      <c r="P17" s="82">
        <v>31.48</v>
      </c>
      <c r="Q17" s="73">
        <f t="shared" si="2"/>
        <v>11535.05</v>
      </c>
      <c r="V17" s="82">
        <v>659.4</v>
      </c>
    </row>
    <row r="18">
      <c r="A18" s="79">
        <v>46174.0</v>
      </c>
      <c r="B18" s="80" t="s">
        <v>22</v>
      </c>
      <c r="C18" s="28"/>
      <c r="D18" s="81"/>
      <c r="E18" s="82">
        <v>42.01</v>
      </c>
      <c r="F18" s="36">
        <f t="shared" si="1"/>
        <v>15177.73</v>
      </c>
      <c r="L18" s="79">
        <v>46144.0</v>
      </c>
      <c r="M18" s="80" t="s">
        <v>317</v>
      </c>
      <c r="N18" s="72"/>
      <c r="O18" s="85"/>
      <c r="P18" s="82">
        <v>110.2</v>
      </c>
      <c r="Q18" s="73">
        <f t="shared" si="2"/>
        <v>11645.25</v>
      </c>
      <c r="V18" s="82">
        <v>2415.0</v>
      </c>
    </row>
    <row r="19">
      <c r="A19" s="86">
        <v>46029.0</v>
      </c>
      <c r="B19" s="87" t="s">
        <v>22</v>
      </c>
      <c r="C19" s="87" t="s">
        <v>22</v>
      </c>
      <c r="D19" s="88"/>
      <c r="E19" s="89">
        <v>35.55</v>
      </c>
      <c r="F19" s="89">
        <v>15213.28</v>
      </c>
      <c r="L19" s="79">
        <v>46147.0</v>
      </c>
      <c r="M19" s="80" t="s">
        <v>328</v>
      </c>
      <c r="N19" s="72"/>
      <c r="O19" s="83">
        <v>49.8</v>
      </c>
      <c r="P19" s="85"/>
      <c r="Q19" s="73">
        <f t="shared" si="2"/>
        <v>11595.45</v>
      </c>
      <c r="V19" s="82">
        <v>615.0</v>
      </c>
      <c r="X19" s="41" t="s">
        <v>332</v>
      </c>
    </row>
    <row r="20">
      <c r="L20" s="79">
        <v>46147.0</v>
      </c>
      <c r="M20" s="80" t="s">
        <v>333</v>
      </c>
      <c r="N20" s="72"/>
      <c r="O20" s="84">
        <v>35.0</v>
      </c>
      <c r="P20" s="82"/>
      <c r="Q20" s="73">
        <f t="shared" si="2"/>
        <v>11560.45</v>
      </c>
      <c r="V20" s="51">
        <v>943.2</v>
      </c>
      <c r="X20" s="60">
        <f>sum(V20:V22)</f>
        <v>1884.95</v>
      </c>
    </row>
    <row r="21">
      <c r="L21" s="79">
        <v>46147.0</v>
      </c>
      <c r="M21" s="80" t="s">
        <v>241</v>
      </c>
      <c r="N21" s="72"/>
      <c r="O21" s="85"/>
      <c r="P21" s="82">
        <v>70.84</v>
      </c>
      <c r="Q21" s="73">
        <f t="shared" si="2"/>
        <v>11631.29</v>
      </c>
      <c r="V21" s="51">
        <v>26.75</v>
      </c>
    </row>
    <row r="22">
      <c r="L22" s="79">
        <v>46148.0</v>
      </c>
      <c r="M22" s="80" t="s">
        <v>241</v>
      </c>
      <c r="N22" s="72"/>
      <c r="O22" s="83"/>
      <c r="P22" s="84">
        <v>15.74</v>
      </c>
      <c r="Q22" s="73">
        <f t="shared" si="2"/>
        <v>11647.03</v>
      </c>
      <c r="V22" s="51">
        <v>915.0</v>
      </c>
    </row>
    <row r="23">
      <c r="L23" s="79">
        <v>46185.0</v>
      </c>
      <c r="M23" s="80" t="s">
        <v>341</v>
      </c>
      <c r="N23" s="76" t="s">
        <v>111</v>
      </c>
      <c r="O23" s="85"/>
      <c r="P23" s="84">
        <v>943.2</v>
      </c>
      <c r="Q23" s="73">
        <f t="shared" si="2"/>
        <v>12590.23</v>
      </c>
      <c r="V23" s="74">
        <v>450.0</v>
      </c>
      <c r="W23" s="41" t="s">
        <v>344</v>
      </c>
    </row>
    <row r="24">
      <c r="L24" s="79">
        <v>46185.0</v>
      </c>
      <c r="M24" s="80" t="s">
        <v>341</v>
      </c>
      <c r="N24" s="76" t="s">
        <v>111</v>
      </c>
      <c r="O24" s="85"/>
      <c r="P24" s="84">
        <v>26.75</v>
      </c>
      <c r="Q24" s="73">
        <f t="shared" si="2"/>
        <v>12616.98</v>
      </c>
      <c r="V24" s="42"/>
    </row>
    <row r="25">
      <c r="L25" s="79">
        <v>46185.0</v>
      </c>
      <c r="M25" s="80" t="s">
        <v>347</v>
      </c>
      <c r="N25" s="76" t="s">
        <v>111</v>
      </c>
      <c r="O25" s="85"/>
      <c r="P25" s="84">
        <v>915.0</v>
      </c>
      <c r="Q25" s="73">
        <f t="shared" si="2"/>
        <v>13531.98</v>
      </c>
      <c r="T25" s="41" t="s">
        <v>208</v>
      </c>
      <c r="U25" s="49">
        <f t="shared" ref="U25:V25" si="4">Sum(U12:U24)</f>
        <v>3835.1</v>
      </c>
      <c r="V25" s="42">
        <f t="shared" si="4"/>
        <v>6332.45</v>
      </c>
    </row>
    <row r="26">
      <c r="L26" s="91" t="s">
        <v>352</v>
      </c>
      <c r="M26" s="92" t="s">
        <v>355</v>
      </c>
      <c r="N26" s="92" t="s">
        <v>356</v>
      </c>
      <c r="O26" s="93">
        <v>1190.0</v>
      </c>
      <c r="P26" s="94"/>
      <c r="Q26" s="93">
        <v>12341.98</v>
      </c>
      <c r="T26" s="41" t="s">
        <v>220</v>
      </c>
      <c r="V26" s="60">
        <f>V25-U25</f>
        <v>2497.35</v>
      </c>
    </row>
    <row r="27">
      <c r="L27" s="91" t="s">
        <v>361</v>
      </c>
      <c r="M27" s="92" t="s">
        <v>362</v>
      </c>
      <c r="N27" s="95"/>
      <c r="O27" s="93">
        <v>12.5</v>
      </c>
      <c r="P27" s="94"/>
      <c r="Q27" s="93">
        <v>12329.48</v>
      </c>
    </row>
    <row r="28">
      <c r="L28" s="96">
        <v>46029.0</v>
      </c>
      <c r="M28" s="92" t="s">
        <v>366</v>
      </c>
      <c r="N28" s="95"/>
      <c r="O28" s="93">
        <v>17.7</v>
      </c>
      <c r="P28" s="94"/>
      <c r="Q28" s="93">
        <v>12311.78</v>
      </c>
      <c r="T28" s="44" t="s">
        <v>368</v>
      </c>
    </row>
    <row r="29">
      <c r="L29" s="96">
        <v>46119.0</v>
      </c>
      <c r="M29" s="92" t="s">
        <v>370</v>
      </c>
      <c r="N29" s="92" t="s">
        <v>356</v>
      </c>
      <c r="O29" s="94"/>
      <c r="P29" s="93">
        <v>41.65</v>
      </c>
      <c r="Q29" s="93">
        <v>12353.43</v>
      </c>
      <c r="T29" s="44" t="s">
        <v>168</v>
      </c>
      <c r="U29" s="44" t="s">
        <v>169</v>
      </c>
      <c r="V29" s="44" t="s">
        <v>170</v>
      </c>
    </row>
    <row r="30">
      <c r="L30" s="96">
        <v>46119.0</v>
      </c>
      <c r="M30" s="92" t="s">
        <v>370</v>
      </c>
      <c r="N30" s="92" t="s">
        <v>356</v>
      </c>
      <c r="O30" s="94"/>
      <c r="P30" s="93">
        <v>117.7</v>
      </c>
      <c r="Q30" s="93">
        <v>12471.13</v>
      </c>
      <c r="U30" s="68"/>
      <c r="V30" s="42"/>
    </row>
    <row r="31">
      <c r="L31" s="96">
        <v>46119.0</v>
      </c>
      <c r="M31" s="92" t="s">
        <v>370</v>
      </c>
      <c r="N31" s="92" t="s">
        <v>356</v>
      </c>
      <c r="O31" s="94"/>
      <c r="P31" s="93">
        <v>811.0</v>
      </c>
      <c r="Q31" s="93">
        <v>13282.13</v>
      </c>
      <c r="V31" s="74"/>
    </row>
    <row r="32">
      <c r="L32" s="96">
        <v>46119.0</v>
      </c>
      <c r="M32" s="92" t="s">
        <v>370</v>
      </c>
      <c r="N32" s="92" t="s">
        <v>356</v>
      </c>
      <c r="O32" s="94"/>
      <c r="P32" s="93">
        <v>388.0</v>
      </c>
      <c r="Q32" s="93">
        <v>13670.13</v>
      </c>
      <c r="V32" s="42"/>
    </row>
    <row r="33">
      <c r="L33" s="96">
        <v>46119.0</v>
      </c>
      <c r="M33" s="92" t="s">
        <v>370</v>
      </c>
      <c r="N33" s="92" t="s">
        <v>356</v>
      </c>
      <c r="O33" s="94"/>
      <c r="P33" s="93">
        <v>710.0</v>
      </c>
      <c r="Q33" s="93">
        <v>14380.13</v>
      </c>
      <c r="T33" s="41" t="s">
        <v>208</v>
      </c>
      <c r="U33" s="49">
        <f t="shared" ref="U33:V33" si="5">Sum(U30:U32)</f>
        <v>0</v>
      </c>
      <c r="V33" s="42">
        <f t="shared" si="5"/>
        <v>0</v>
      </c>
    </row>
    <row r="34">
      <c r="L34" s="96">
        <v>46119.0</v>
      </c>
      <c r="M34" s="92" t="s">
        <v>370</v>
      </c>
      <c r="N34" s="92" t="s">
        <v>356</v>
      </c>
      <c r="O34" s="94"/>
      <c r="P34" s="93">
        <v>775.0</v>
      </c>
      <c r="Q34" s="93">
        <v>15155.13</v>
      </c>
      <c r="T34" s="41" t="s">
        <v>220</v>
      </c>
      <c r="V34" s="42">
        <f>V33-U33</f>
        <v>0</v>
      </c>
    </row>
    <row r="35">
      <c r="L35" s="96">
        <v>46119.0</v>
      </c>
      <c r="M35" s="92" t="s">
        <v>370</v>
      </c>
      <c r="N35" s="92" t="s">
        <v>356</v>
      </c>
      <c r="O35" s="94"/>
      <c r="P35" s="93">
        <v>55.0</v>
      </c>
      <c r="Q35" s="93">
        <v>15210.13</v>
      </c>
    </row>
    <row r="36">
      <c r="L36" s="96">
        <v>46119.0</v>
      </c>
      <c r="M36" s="92" t="s">
        <v>370</v>
      </c>
      <c r="N36" s="92" t="s">
        <v>356</v>
      </c>
      <c r="O36" s="94"/>
      <c r="P36" s="93">
        <v>182.4</v>
      </c>
      <c r="Q36" s="93">
        <v>15392.53</v>
      </c>
      <c r="T36" s="44" t="s">
        <v>387</v>
      </c>
    </row>
    <row r="37">
      <c r="L37" s="96">
        <v>46119.0</v>
      </c>
      <c r="M37" s="92" t="s">
        <v>370</v>
      </c>
      <c r="N37" s="92" t="s">
        <v>356</v>
      </c>
      <c r="O37" s="94"/>
      <c r="P37" s="93">
        <v>5.0</v>
      </c>
      <c r="Q37" s="93">
        <v>15397.53</v>
      </c>
      <c r="T37" s="44" t="s">
        <v>168</v>
      </c>
      <c r="U37" s="44" t="s">
        <v>169</v>
      </c>
      <c r="V37" s="44" t="s">
        <v>170</v>
      </c>
    </row>
    <row r="38">
      <c r="L38" s="96">
        <v>46119.0</v>
      </c>
      <c r="M38" s="92" t="s">
        <v>370</v>
      </c>
      <c r="N38" s="92" t="s">
        <v>356</v>
      </c>
      <c r="O38" s="94"/>
      <c r="P38" s="93">
        <v>299.5</v>
      </c>
      <c r="Q38" s="93">
        <v>15697.03</v>
      </c>
      <c r="U38" s="68"/>
      <c r="V38" s="42"/>
    </row>
    <row r="39">
      <c r="L39" s="96">
        <v>46119.0</v>
      </c>
      <c r="M39" s="92" t="s">
        <v>370</v>
      </c>
      <c r="N39" s="92" t="s">
        <v>356</v>
      </c>
      <c r="O39" s="94"/>
      <c r="P39" s="93">
        <v>150.0</v>
      </c>
      <c r="Q39" s="93">
        <v>15847.03</v>
      </c>
      <c r="V39" s="74"/>
    </row>
    <row r="40">
      <c r="L40" s="96">
        <v>46119.0</v>
      </c>
      <c r="M40" s="92" t="s">
        <v>370</v>
      </c>
      <c r="N40" s="92" t="s">
        <v>356</v>
      </c>
      <c r="O40" s="94"/>
      <c r="P40" s="93">
        <v>7.0</v>
      </c>
      <c r="Q40" s="93">
        <v>15854.03</v>
      </c>
      <c r="V40" s="42"/>
    </row>
    <row r="41">
      <c r="L41" s="96">
        <v>46119.0</v>
      </c>
      <c r="M41" s="92" t="s">
        <v>392</v>
      </c>
      <c r="N41" s="92" t="s">
        <v>356</v>
      </c>
      <c r="O41" s="94"/>
      <c r="P41" s="93">
        <v>10.0</v>
      </c>
      <c r="Q41" s="93">
        <v>15864.03</v>
      </c>
      <c r="T41" s="41" t="s">
        <v>208</v>
      </c>
      <c r="U41" s="49">
        <f t="shared" ref="U41:V41" si="6">Sum(U38:U40)</f>
        <v>0</v>
      </c>
      <c r="V41" s="42">
        <f t="shared" si="6"/>
        <v>0</v>
      </c>
    </row>
    <row r="42">
      <c r="L42" s="96">
        <v>46119.0</v>
      </c>
      <c r="M42" s="92" t="s">
        <v>395</v>
      </c>
      <c r="N42" s="92" t="s">
        <v>356</v>
      </c>
      <c r="O42" s="94"/>
      <c r="P42" s="93">
        <v>150.06</v>
      </c>
      <c r="Q42" s="93">
        <v>16014.09</v>
      </c>
      <c r="T42" s="41" t="s">
        <v>220</v>
      </c>
      <c r="V42" s="42">
        <f>V41-U41</f>
        <v>0</v>
      </c>
    </row>
    <row r="43">
      <c r="L43" s="91" t="s">
        <v>396</v>
      </c>
      <c r="M43" s="92" t="s">
        <v>397</v>
      </c>
      <c r="N43" s="92" t="s">
        <v>398</v>
      </c>
      <c r="O43" s="93">
        <v>2445.0</v>
      </c>
      <c r="P43" s="94"/>
      <c r="Q43" s="93">
        <v>13569.09</v>
      </c>
    </row>
    <row r="44">
      <c r="L44" s="91" t="s">
        <v>399</v>
      </c>
      <c r="M44" s="92" t="s">
        <v>400</v>
      </c>
      <c r="N44" s="92" t="s">
        <v>401</v>
      </c>
      <c r="O44" s="93">
        <v>5519.42</v>
      </c>
      <c r="P44" s="94"/>
      <c r="Q44" s="93">
        <v>8049.67</v>
      </c>
      <c r="T44" s="44" t="s">
        <v>402</v>
      </c>
    </row>
    <row r="45">
      <c r="L45" s="70">
        <v>46303.0</v>
      </c>
      <c r="M45" s="32" t="s">
        <v>403</v>
      </c>
      <c r="N45" s="32" t="s">
        <v>404</v>
      </c>
      <c r="O45" s="29">
        <v>2546.2</v>
      </c>
      <c r="P45" s="28"/>
      <c r="Q45" s="93">
        <v>5503.47</v>
      </c>
      <c r="T45" s="44" t="s">
        <v>168</v>
      </c>
      <c r="U45" s="44" t="s">
        <v>169</v>
      </c>
      <c r="V45" s="44" t="s">
        <v>170</v>
      </c>
    </row>
    <row r="46">
      <c r="U46" s="68"/>
      <c r="V46" s="42"/>
    </row>
    <row r="47">
      <c r="V47" s="74"/>
    </row>
    <row r="48">
      <c r="V48" s="42"/>
    </row>
    <row r="49">
      <c r="T49" s="41" t="s">
        <v>208</v>
      </c>
      <c r="U49" s="49">
        <f t="shared" ref="U49:V49" si="7">Sum(U46:U48)</f>
        <v>0</v>
      </c>
      <c r="V49" s="42">
        <f t="shared" si="7"/>
        <v>0</v>
      </c>
    </row>
    <row r="50">
      <c r="T50" s="41" t="s">
        <v>220</v>
      </c>
      <c r="V50" s="42">
        <f>V49-U49</f>
        <v>0</v>
      </c>
    </row>
    <row r="52">
      <c r="T52" s="44" t="s">
        <v>405</v>
      </c>
    </row>
    <row r="53">
      <c r="T53" s="44" t="s">
        <v>168</v>
      </c>
      <c r="U53" s="44" t="s">
        <v>169</v>
      </c>
      <c r="V53" s="44" t="s">
        <v>170</v>
      </c>
    </row>
    <row r="54">
      <c r="U54" s="68"/>
      <c r="V54" s="42"/>
    </row>
    <row r="55">
      <c r="V55" s="74"/>
    </row>
    <row r="56">
      <c r="V56" s="42"/>
    </row>
    <row r="57">
      <c r="T57" s="41" t="s">
        <v>208</v>
      </c>
      <c r="U57" s="49">
        <f t="shared" ref="U57:V57" si="8">Sum(U54:U56)</f>
        <v>0</v>
      </c>
      <c r="V57" s="42">
        <f t="shared" si="8"/>
        <v>0</v>
      </c>
    </row>
    <row r="58">
      <c r="T58" s="41" t="s">
        <v>220</v>
      </c>
      <c r="V58" s="42">
        <f>V57-U57</f>
        <v>0</v>
      </c>
    </row>
  </sheetData>
  <mergeCells count="6">
    <mergeCell ref="A1:F1"/>
    <mergeCell ref="L1:Q1"/>
    <mergeCell ref="A2:F2"/>
    <mergeCell ref="L2:Q2"/>
    <mergeCell ref="A3:F3"/>
    <mergeCell ref="L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4" max="4" width="18.75"/>
  </cols>
  <sheetData>
    <row r="1">
      <c r="A1" s="97" t="s">
        <v>233</v>
      </c>
    </row>
    <row r="2">
      <c r="A2" s="44" t="s">
        <v>406</v>
      </c>
      <c r="B2" s="60">
        <f>E2-E3</f>
        <v>1818.98</v>
      </c>
      <c r="D2" s="41" t="s">
        <v>407</v>
      </c>
      <c r="E2" s="74">
        <v>2174.6</v>
      </c>
    </row>
    <row r="3">
      <c r="B3" s="42"/>
      <c r="D3" s="41" t="s">
        <v>408</v>
      </c>
      <c r="E3" s="42">
        <f>950-D12</f>
        <v>355.62</v>
      </c>
      <c r="F3" s="41" t="s">
        <v>409</v>
      </c>
    </row>
    <row r="4">
      <c r="A4" s="44" t="s">
        <v>410</v>
      </c>
      <c r="B4" s="42"/>
    </row>
    <row r="5">
      <c r="A5" s="41" t="s">
        <v>411</v>
      </c>
      <c r="B5" s="74">
        <v>70.0</v>
      </c>
      <c r="C5" s="41" t="s">
        <v>412</v>
      </c>
      <c r="D5" s="41" t="s">
        <v>413</v>
      </c>
    </row>
    <row r="6">
      <c r="A6" s="41" t="s">
        <v>414</v>
      </c>
      <c r="B6" s="74">
        <v>369.0</v>
      </c>
      <c r="C6" s="41" t="s">
        <v>415</v>
      </c>
      <c r="D6" s="41" t="s">
        <v>416</v>
      </c>
    </row>
    <row r="7">
      <c r="A7" s="41" t="s">
        <v>417</v>
      </c>
      <c r="B7" s="74">
        <v>18.6</v>
      </c>
      <c r="C7" s="41" t="s">
        <v>412</v>
      </c>
    </row>
    <row r="8">
      <c r="A8" s="41" t="s">
        <v>418</v>
      </c>
      <c r="B8" s="74">
        <v>43.98</v>
      </c>
      <c r="C8" s="41" t="s">
        <v>415</v>
      </c>
    </row>
    <row r="9">
      <c r="A9" s="41" t="s">
        <v>419</v>
      </c>
      <c r="B9" s="74">
        <v>155.5</v>
      </c>
      <c r="C9" s="41" t="s">
        <v>415</v>
      </c>
    </row>
    <row r="10">
      <c r="A10" s="41" t="s">
        <v>420</v>
      </c>
      <c r="B10" s="74">
        <v>20.9</v>
      </c>
      <c r="C10" s="41" t="s">
        <v>415</v>
      </c>
    </row>
    <row r="11">
      <c r="A11" s="41" t="s">
        <v>421</v>
      </c>
      <c r="B11" s="74">
        <v>5.0</v>
      </c>
      <c r="C11" s="41" t="s">
        <v>415</v>
      </c>
      <c r="D11" s="41" t="s">
        <v>422</v>
      </c>
    </row>
    <row r="12">
      <c r="A12" s="44" t="s">
        <v>423</v>
      </c>
      <c r="B12" s="98">
        <f>sum(B5:B11)</f>
        <v>682.98</v>
      </c>
      <c r="D12" s="42">
        <f>B6+B8+B9+B10+B11</f>
        <v>594.38</v>
      </c>
    </row>
    <row r="14">
      <c r="A14" s="99" t="s">
        <v>268</v>
      </c>
      <c r="B14" s="100">
        <f>B2-B12</f>
        <v>1136</v>
      </c>
    </row>
    <row r="16">
      <c r="A16" s="101" t="s">
        <v>424</v>
      </c>
    </row>
    <row r="18">
      <c r="A18" s="44" t="s">
        <v>425</v>
      </c>
    </row>
    <row r="19">
      <c r="A19" s="41" t="s">
        <v>206</v>
      </c>
      <c r="B19" s="74">
        <v>1041.5</v>
      </c>
    </row>
    <row r="20">
      <c r="A20" s="41" t="s">
        <v>211</v>
      </c>
      <c r="B20" s="74">
        <v>1422.75</v>
      </c>
    </row>
    <row r="21">
      <c r="A21" s="41" t="s">
        <v>218</v>
      </c>
      <c r="B21" s="74">
        <v>1236.0</v>
      </c>
    </row>
    <row r="22">
      <c r="A22" s="41" t="s">
        <v>240</v>
      </c>
      <c r="B22" s="74">
        <v>51.5</v>
      </c>
    </row>
    <row r="23">
      <c r="A23" s="44" t="s">
        <v>426</v>
      </c>
      <c r="B23" s="60">
        <f>sum(B19:B22)</f>
        <v>3751.75</v>
      </c>
    </row>
    <row r="25">
      <c r="A25" s="41" t="s">
        <v>427</v>
      </c>
      <c r="B25" s="60">
        <v>5629.1</v>
      </c>
    </row>
    <row r="27">
      <c r="A27" s="99" t="s">
        <v>428</v>
      </c>
      <c r="B27" s="100">
        <f>B25-B23</f>
        <v>1877.35</v>
      </c>
    </row>
  </sheetData>
  <drawing r:id="rId1"/>
</worksheet>
</file>